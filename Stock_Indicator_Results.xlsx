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14376" windowHeight="12300" activeTab="3"/>
  </bookViews>
  <sheets>
    <sheet name="ResultsTable" sheetId="1" r:id="rId1"/>
    <sheet name="PriceAnalysis" sheetId="12" r:id="rId2"/>
    <sheet name="VolumeAnalysis" sheetId="13" r:id="rId3"/>
    <sheet name="VolatilityAnalysis" sheetId="14" r:id="rId4"/>
  </sheets>
  <calcPr calcId="171027"/>
  <pivotCaches>
    <pivotCache cacheId="75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<sst xmlns="http://schemas.openxmlformats.org/spreadsheetml/2006/main" count="877" uniqueCount="688">
  <si>
    <t>ADBE</t>
  </si>
  <si>
    <t>NFLX</t>
  </si>
  <si>
    <t>NVDA</t>
  </si>
  <si>
    <t>MSFT</t>
  </si>
  <si>
    <t>HD</t>
  </si>
  <si>
    <t>META</t>
  </si>
  <si>
    <t>TSLA</t>
  </si>
  <si>
    <t>PANW</t>
  </si>
  <si>
    <t>V</t>
  </si>
  <si>
    <t>CRM</t>
  </si>
  <si>
    <t>BA</t>
  </si>
  <si>
    <t>AAPL</t>
  </si>
  <si>
    <t>SNOW</t>
  </si>
  <si>
    <t>PEP</t>
  </si>
  <si>
    <t>TXN</t>
  </si>
  <si>
    <t>JNJ</t>
  </si>
  <si>
    <t>WMT</t>
  </si>
  <si>
    <t>CVX</t>
  </si>
  <si>
    <t>PG</t>
  </si>
  <si>
    <t>AMAT</t>
  </si>
  <si>
    <t>JPM</t>
  </si>
  <si>
    <t>TMUS</t>
  </si>
  <si>
    <t>ABBV</t>
  </si>
  <si>
    <t>TGT</t>
  </si>
  <si>
    <t>AMZN</t>
  </si>
  <si>
    <t>ABNB</t>
  </si>
  <si>
    <t>GOOG</t>
  </si>
  <si>
    <t>QCOM</t>
  </si>
  <si>
    <t>ORCL</t>
  </si>
  <si>
    <t>NKE</t>
  </si>
  <si>
    <t>MRK</t>
  </si>
  <si>
    <t>AMD</t>
  </si>
  <si>
    <t>ABT</t>
  </si>
  <si>
    <t>GE</t>
  </si>
  <si>
    <t>XOM</t>
  </si>
  <si>
    <t>COP</t>
  </si>
  <si>
    <t>SBUX</t>
  </si>
  <si>
    <t>PM</t>
  </si>
  <si>
    <t>ON</t>
  </si>
  <si>
    <t>DIS</t>
  </si>
  <si>
    <t>MDT</t>
  </si>
  <si>
    <t>MCHP</t>
  </si>
  <si>
    <t>MS</t>
  </si>
  <si>
    <t>ATVI</t>
  </si>
  <si>
    <t>TJX</t>
  </si>
  <si>
    <t>GILD</t>
  </si>
  <si>
    <t>CL</t>
  </si>
  <si>
    <t>FTNT</t>
  </si>
  <si>
    <t>NEE</t>
  </si>
  <si>
    <t>MDLZ</t>
  </si>
  <si>
    <t>COIN</t>
  </si>
  <si>
    <t>CVS</t>
  </si>
  <si>
    <t>MU</t>
  </si>
  <si>
    <t>NET</t>
  </si>
  <si>
    <t>PYPL</t>
  </si>
  <si>
    <t>ROKU</t>
  </si>
  <si>
    <t>SQ</t>
  </si>
  <si>
    <t>SHOP</t>
  </si>
  <si>
    <t>BMY</t>
  </si>
  <si>
    <t>W</t>
  </si>
  <si>
    <t>KO</t>
  </si>
  <si>
    <t>MRVL</t>
  </si>
  <si>
    <t>OXY</t>
  </si>
  <si>
    <t>UAL</t>
  </si>
  <si>
    <t>SCHW</t>
  </si>
  <si>
    <t>MET</t>
  </si>
  <si>
    <t>BSX</t>
  </si>
  <si>
    <t>FIS</t>
  </si>
  <si>
    <t>DELL</t>
  </si>
  <si>
    <t>DOCU</t>
  </si>
  <si>
    <t>CSCO</t>
  </si>
  <si>
    <t>CARR</t>
  </si>
  <si>
    <t>SLB</t>
  </si>
  <si>
    <t>DVN</t>
  </si>
  <si>
    <t>KR</t>
  </si>
  <si>
    <t>DAL</t>
  </si>
  <si>
    <t>C</t>
  </si>
  <si>
    <t>MO</t>
  </si>
  <si>
    <t>UBER</t>
  </si>
  <si>
    <t>U</t>
  </si>
  <si>
    <t>MTCH</t>
  </si>
  <si>
    <t>CMCSA</t>
  </si>
  <si>
    <t>NEM</t>
  </si>
  <si>
    <t>WFC</t>
  </si>
  <si>
    <t>EXC</t>
  </si>
  <si>
    <t>RBLX</t>
  </si>
  <si>
    <t>EQT</t>
  </si>
  <si>
    <t>FCX</t>
  </si>
  <si>
    <t>GM</t>
  </si>
  <si>
    <t>VZ</t>
  </si>
  <si>
    <t>NRG</t>
  </si>
  <si>
    <t>OVV</t>
  </si>
  <si>
    <t>PFE</t>
  </si>
  <si>
    <t>PSTG</t>
  </si>
  <si>
    <t>CFLT</t>
  </si>
  <si>
    <t>LUV</t>
  </si>
  <si>
    <t>AI</t>
  </si>
  <si>
    <t>KHC</t>
  </si>
  <si>
    <t>UPST</t>
  </si>
  <si>
    <t>GLW</t>
  </si>
  <si>
    <t>SYF</t>
  </si>
  <si>
    <t>CSX</t>
  </si>
  <si>
    <t>INTC</t>
  </si>
  <si>
    <t>APA</t>
  </si>
  <si>
    <t>HAL</t>
  </si>
  <si>
    <t>USB</t>
  </si>
  <si>
    <t>WMB</t>
  </si>
  <si>
    <t>ONON</t>
  </si>
  <si>
    <t>BKR</t>
  </si>
  <si>
    <t>KDP</t>
  </si>
  <si>
    <t>TFC</t>
  </si>
  <si>
    <t>HPQ</t>
  </si>
  <si>
    <t>WBA</t>
  </si>
  <si>
    <t>PINS</t>
  </si>
  <si>
    <t>BAC</t>
  </si>
  <si>
    <t>CVNA</t>
  </si>
  <si>
    <t>ZION</t>
  </si>
  <si>
    <t>DBX</t>
  </si>
  <si>
    <t>FL</t>
  </si>
  <si>
    <t>FITB</t>
  </si>
  <si>
    <t>PPL</t>
  </si>
  <si>
    <t>CFG</t>
  </si>
  <si>
    <t>DKNG</t>
  </si>
  <si>
    <t>ZI</t>
  </si>
  <si>
    <t>GME</t>
  </si>
  <si>
    <t>CTRA</t>
  </si>
  <si>
    <t>X</t>
  </si>
  <si>
    <t>GPK</t>
  </si>
  <si>
    <t>VRT</t>
  </si>
  <si>
    <t>XP</t>
  </si>
  <si>
    <t>KSS</t>
  </si>
  <si>
    <t>MRO</t>
  </si>
  <si>
    <t>TOST</t>
  </si>
  <si>
    <t>AR</t>
  </si>
  <si>
    <t>NCLH</t>
  </si>
  <si>
    <t>AES</t>
  </si>
  <si>
    <t>AVTR</t>
  </si>
  <si>
    <t>JWN</t>
  </si>
  <si>
    <t>IMGN</t>
  </si>
  <si>
    <t>VFC</t>
  </si>
  <si>
    <t>RUN</t>
  </si>
  <si>
    <t>AAL</t>
  </si>
  <si>
    <t>RF</t>
  </si>
  <si>
    <t>CCL</t>
  </si>
  <si>
    <t>CPNG</t>
  </si>
  <si>
    <t>ENVX</t>
  </si>
  <si>
    <t>KMI</t>
  </si>
  <si>
    <t>PCG</t>
  </si>
  <si>
    <t>GOLD</t>
  </si>
  <si>
    <t>CLF</t>
  </si>
  <si>
    <t>HPE</t>
  </si>
  <si>
    <t>BE</t>
  </si>
  <si>
    <t>FTI</t>
  </si>
  <si>
    <t>T</t>
  </si>
  <si>
    <t>PARA</t>
  </si>
  <si>
    <t>M</t>
  </si>
  <si>
    <t>AFRM</t>
  </si>
  <si>
    <t>PLTR</t>
  </si>
  <si>
    <t>S</t>
  </si>
  <si>
    <t>F</t>
  </si>
  <si>
    <t>RIVN</t>
  </si>
  <si>
    <t>IONQ</t>
  </si>
  <si>
    <t>MARA</t>
  </si>
  <si>
    <t>STNE</t>
  </si>
  <si>
    <t>ET</t>
  </si>
  <si>
    <t>WBD</t>
  </si>
  <si>
    <t>SNAP</t>
  </si>
  <si>
    <t>RIOT</t>
  </si>
  <si>
    <t>AEO</t>
  </si>
  <si>
    <t>WU</t>
  </si>
  <si>
    <t>NYCB</t>
  </si>
  <si>
    <t>FHN</t>
  </si>
  <si>
    <t>PR</t>
  </si>
  <si>
    <t>HBAN</t>
  </si>
  <si>
    <t>LYFT</t>
  </si>
  <si>
    <t>HOOD</t>
  </si>
  <si>
    <t>SPWR</t>
  </si>
  <si>
    <t>ELAN</t>
  </si>
  <si>
    <t>AMCR</t>
  </si>
  <si>
    <t>VTRS</t>
  </si>
  <si>
    <t>PLUG</t>
  </si>
  <si>
    <t>ETRN</t>
  </si>
  <si>
    <t>PAGS</t>
  </si>
  <si>
    <t>KEY</t>
  </si>
  <si>
    <t>NWL</t>
  </si>
  <si>
    <t>SOFI</t>
  </si>
  <si>
    <t>JBLU</t>
  </si>
  <si>
    <t>GPS</t>
  </si>
  <si>
    <t>CHPT</t>
  </si>
  <si>
    <t>PACW</t>
  </si>
  <si>
    <t>NU</t>
  </si>
  <si>
    <t>APLD</t>
  </si>
  <si>
    <t>NVAX</t>
  </si>
  <si>
    <t>IOVA</t>
  </si>
  <si>
    <t>PTON</t>
  </si>
  <si>
    <t>QS</t>
  </si>
  <si>
    <t>UCAR</t>
  </si>
  <si>
    <t>LAZR</t>
  </si>
  <si>
    <t>DISH</t>
  </si>
  <si>
    <t>LCID</t>
  </si>
  <si>
    <t>FTCH</t>
  </si>
  <si>
    <t>SWN</t>
  </si>
  <si>
    <t>BDTX</t>
  </si>
  <si>
    <t>VCIG</t>
  </si>
  <si>
    <t>KOS</t>
  </si>
  <si>
    <t>STEM</t>
  </si>
  <si>
    <t>FSR</t>
  </si>
  <si>
    <t>EOSE</t>
  </si>
  <si>
    <t>HL</t>
  </si>
  <si>
    <t>MQ</t>
  </si>
  <si>
    <t>SPCE</t>
  </si>
  <si>
    <t>SOUN</t>
  </si>
  <si>
    <t>BTBT</t>
  </si>
  <si>
    <t>AMC</t>
  </si>
  <si>
    <t>HBI</t>
  </si>
  <si>
    <t>SIRI</t>
  </si>
  <si>
    <t>CLSK</t>
  </si>
  <si>
    <t>OPEN</t>
  </si>
  <si>
    <t>EVGO</t>
  </si>
  <si>
    <t>MVIS</t>
  </si>
  <si>
    <t>UEC</t>
  </si>
  <si>
    <t>ARDX</t>
  </si>
  <si>
    <t>GRAB</t>
  </si>
  <si>
    <t>SABR</t>
  </si>
  <si>
    <t>GERN</t>
  </si>
  <si>
    <t>ENVB</t>
  </si>
  <si>
    <t>MBOT</t>
  </si>
  <si>
    <t>CDE</t>
  </si>
  <si>
    <t>ATUS</t>
  </si>
  <si>
    <t>AUR</t>
  </si>
  <si>
    <t>BBAI</t>
  </si>
  <si>
    <t>QBTS</t>
  </si>
  <si>
    <t>LUMN</t>
  </si>
  <si>
    <t>FCEL</t>
  </si>
  <si>
    <t>FUBO</t>
  </si>
  <si>
    <t>XFOR</t>
  </si>
  <si>
    <t>DNA</t>
  </si>
  <si>
    <t>AGEN</t>
  </si>
  <si>
    <t>TLRY</t>
  </si>
  <si>
    <t>GEVO</t>
  </si>
  <si>
    <t>WLDS</t>
  </si>
  <si>
    <t>TELL</t>
  </si>
  <si>
    <t>TIO</t>
  </si>
  <si>
    <t>FRZA</t>
  </si>
  <si>
    <t>NKLA</t>
  </si>
  <si>
    <t>NVTA</t>
  </si>
  <si>
    <t>CLOV</t>
  </si>
  <si>
    <t>WKHS</t>
  </si>
  <si>
    <t>SENS</t>
  </si>
  <si>
    <t>BNGO</t>
  </si>
  <si>
    <t>SONN</t>
  </si>
  <si>
    <t>OCGN</t>
  </si>
  <si>
    <t>WORX</t>
  </si>
  <si>
    <t>AUUD</t>
  </si>
  <si>
    <t>GOEV</t>
  </si>
  <si>
    <t>INO</t>
  </si>
  <si>
    <t>AGLE</t>
  </si>
  <si>
    <t>SRGA</t>
  </si>
  <si>
    <t>SEV</t>
  </si>
  <si>
    <t>UTRS</t>
  </si>
  <si>
    <t>WE</t>
  </si>
  <si>
    <t>EEVLO</t>
  </si>
  <si>
    <t>BNTC</t>
  </si>
  <si>
    <t>RCRT</t>
  </si>
  <si>
    <t>IRNT</t>
  </si>
  <si>
    <t>FFIE</t>
  </si>
  <si>
    <t>ARDS</t>
  </si>
  <si>
    <t>MMAT</t>
  </si>
  <si>
    <t>MIMO</t>
  </si>
  <si>
    <t>MOBQ</t>
  </si>
  <si>
    <t>NVOS</t>
  </si>
  <si>
    <t>MCOM</t>
  </si>
  <si>
    <t>TIVC</t>
  </si>
  <si>
    <t>MULN</t>
  </si>
  <si>
    <t>NAVB</t>
  </si>
  <si>
    <t>IDEX</t>
  </si>
  <si>
    <t>BIOL</t>
  </si>
  <si>
    <t>TTOO</t>
  </si>
  <si>
    <t>SYTA</t>
  </si>
  <si>
    <t>−0.47%</t>
  </si>
  <si>
    <t>−1.95%</t>
  </si>
  <si>
    <t>−0.65%</t>
  </si>
  <si>
    <t>−2.59%</t>
  </si>
  <si>
    <t>−5.48%</t>
  </si>
  <si>
    <t>−0.15%</t>
  </si>
  <si>
    <t>−1.19%</t>
  </si>
  <si>
    <t>−0.14%</t>
  </si>
  <si>
    <t>−6.87%</t>
  </si>
  <si>
    <t>−0.69%</t>
  </si>
  <si>
    <t>−5.02%</t>
  </si>
  <si>
    <t>−2.01%</t>
  </si>
  <si>
    <t>−0.30%</t>
  </si>
  <si>
    <t>−0.52%</t>
  </si>
  <si>
    <t>−1.27%</t>
  </si>
  <si>
    <t>−1.09%</t>
  </si>
  <si>
    <t>−0.01%</t>
  </si>
  <si>
    <t>−1.52%</t>
  </si>
  <si>
    <t>−0.38%</t>
  </si>
  <si>
    <t>−0.08%</t>
  </si>
  <si>
    <t>−0.24%</t>
  </si>
  <si>
    <t>−0.19%</t>
  </si>
  <si>
    <t>−3.02%</t>
  </si>
  <si>
    <t>−0.71%</t>
  </si>
  <si>
    <t>−2.51%</t>
  </si>
  <si>
    <t>−3.95%</t>
  </si>
  <si>
    <t>−3.10%</t>
  </si>
  <si>
    <t>−4.48%</t>
  </si>
  <si>
    <t>−5.59%</t>
  </si>
  <si>
    <t>−0.22%</t>
  </si>
  <si>
    <t>−1.58%</t>
  </si>
  <si>
    <t>−1.86%</t>
  </si>
  <si>
    <t>−1.75%</t>
  </si>
  <si>
    <t>−2.41%</t>
  </si>
  <si>
    <t>−0.90%</t>
  </si>
  <si>
    <t>−1.78%</t>
  </si>
  <si>
    <t>−4.44%</t>
  </si>
  <si>
    <t>−1.88%</t>
  </si>
  <si>
    <t>−6.80%</t>
  </si>
  <si>
    <t>−7.02%</t>
  </si>
  <si>
    <t>−10.04%</t>
  </si>
  <si>
    <t>−0.41%</t>
  </si>
  <si>
    <t>−1.00%</t>
  </si>
  <si>
    <t>−0.16%</t>
  </si>
  <si>
    <t>−1.98%</t>
  </si>
  <si>
    <t>−0.02%</t>
  </si>
  <si>
    <t>−0.10%</t>
  </si>
  <si>
    <t>−0.80%</t>
  </si>
  <si>
    <t>−1.28%</t>
  </si>
  <si>
    <t>−2.85%</t>
  </si>
  <si>
    <t>−2.97%</t>
  </si>
  <si>
    <t>−1.67%</t>
  </si>
  <si>
    <t>−0.99%</t>
  </si>
  <si>
    <t>−1.92%</t>
  </si>
  <si>
    <t>−2.33%</t>
  </si>
  <si>
    <t>−1.56%</t>
  </si>
  <si>
    <t>−2.22%</t>
  </si>
  <si>
    <t>−0.98%</t>
  </si>
  <si>
    <t>−0.03%</t>
  </si>
  <si>
    <t>−1.36%</t>
  </si>
  <si>
    <t>−0.26%</t>
  </si>
  <si>
    <t>−0.04%</t>
  </si>
  <si>
    <t>−2.39%</t>
  </si>
  <si>
    <t>−2.10%</t>
  </si>
  <si>
    <t>−1.66%</t>
  </si>
  <si>
    <t>−4.02%</t>
  </si>
  <si>
    <t>−3.88%</t>
  </si>
  <si>
    <t>−0.78%</t>
  </si>
  <si>
    <t>−4.23%</t>
  </si>
  <si>
    <t>−3.93%</t>
  </si>
  <si>
    <t>−2.91%</t>
  </si>
  <si>
    <t>−1.46%</t>
  </si>
  <si>
    <t>−0.54%</t>
  </si>
  <si>
    <t>−2.76%</t>
  </si>
  <si>
    <t>−1.11%</t>
  </si>
  <si>
    <t>−1.29%</t>
  </si>
  <si>
    <t>−0.91%</t>
  </si>
  <si>
    <t>−0.35%</t>
  </si>
  <si>
    <t>−2.81%</t>
  </si>
  <si>
    <t>−0.96%</t>
  </si>
  <si>
    <t>−2.69%</t>
  </si>
  <si>
    <t>−2.14%</t>
  </si>
  <si>
    <t>−8.30%</t>
  </si>
  <si>
    <t>−3.07%</t>
  </si>
  <si>
    <t>−1.06%</t>
  </si>
  <si>
    <t>−1.57%</t>
  </si>
  <si>
    <t>−2.74%</t>
  </si>
  <si>
    <t>−2.67%</t>
  </si>
  <si>
    <t>−0.58%</t>
  </si>
  <si>
    <t>−4.14%</t>
  </si>
  <si>
    <t>−2.94%</t>
  </si>
  <si>
    <t>−0.68%</t>
  </si>
  <si>
    <t>−4.40%</t>
  </si>
  <si>
    <t>−3.80%</t>
  </si>
  <si>
    <t>−5.25%</t>
  </si>
  <si>
    <t>−4.55%</t>
  </si>
  <si>
    <t>−7.42%</t>
  </si>
  <si>
    <t>−4.60%</t>
  </si>
  <si>
    <t>−3.60%</t>
  </si>
  <si>
    <t>−11.37%</t>
  </si>
  <si>
    <t>−18.97%</t>
  </si>
  <si>
    <t>−2.48%</t>
  </si>
  <si>
    <t>−8.37%</t>
  </si>
  <si>
    <t>−4.05%</t>
  </si>
  <si>
    <t>−8.58%</t>
  </si>
  <si>
    <t>−3.85%</t>
  </si>
  <si>
    <t>−3.98%</t>
  </si>
  <si>
    <t>−3.26%</t>
  </si>
  <si>
    <t>−1.69%</t>
  </si>
  <si>
    <t>−2.96%</t>
  </si>
  <si>
    <t>−0.17%</t>
  </si>
  <si>
    <t>−3.42%</t>
  </si>
  <si>
    <t>−7.39%</t>
  </si>
  <si>
    <t>−4.25%</t>
  </si>
  <si>
    <t>−10.02%</t>
  </si>
  <si>
    <t>−2.38%</t>
  </si>
  <si>
    <t>−2.47%</t>
  </si>
  <si>
    <t>−0.46%</t>
  </si>
  <si>
    <t>−0.73%</t>
  </si>
  <si>
    <t>−2.45%</t>
  </si>
  <si>
    <t>−4.71%</t>
  </si>
  <si>
    <t>−2.08%</t>
  </si>
  <si>
    <t>−1.43%</t>
  </si>
  <si>
    <t>−5.45%</t>
  </si>
  <si>
    <t>−4.43%</t>
  </si>
  <si>
    <t>−1.80%</t>
  </si>
  <si>
    <t>−0.37%</t>
  </si>
  <si>
    <t>−1.53%</t>
  </si>
  <si>
    <t>−3.46%</t>
  </si>
  <si>
    <t>−1.23%</t>
  </si>
  <si>
    <t>−3.54%</t>
  </si>
  <si>
    <t>−5.14%</t>
  </si>
  <si>
    <t>−1.13%</t>
  </si>
  <si>
    <t>−3.40%</t>
  </si>
  <si>
    <t>−0.81%</t>
  </si>
  <si>
    <t>−2.16%</t>
  </si>
  <si>
    <t>−1.91%</t>
  </si>
  <si>
    <t>−5.15%</t>
  </si>
  <si>
    <t>−5.79%</t>
  </si>
  <si>
    <t>−0.05%</t>
  </si>
  <si>
    <t>−3.64%</t>
  </si>
  <si>
    <t>−0.86%</t>
  </si>
  <si>
    <t>−0.40%</t>
  </si>
  <si>
    <t>−0.18%</t>
  </si>
  <si>
    <t>−4.49%</t>
  </si>
  <si>
    <t>−0.97%</t>
  </si>
  <si>
    <t>−4.22%</t>
  </si>
  <si>
    <t>−3.29%</t>
  </si>
  <si>
    <t>−0.64%</t>
  </si>
  <si>
    <t>−2.58%</t>
  </si>
  <si>
    <t>−2.43%</t>
  </si>
  <si>
    <t>−3.69%</t>
  </si>
  <si>
    <t>−30.40%</t>
  </si>
  <si>
    <t>−1.39%</t>
  </si>
  <si>
    <t>−26.48%</t>
  </si>
  <si>
    <t>−0.61%</t>
  </si>
  <si>
    <t>−8.21%</t>
  </si>
  <si>
    <t>−0.07%</t>
  </si>
  <si>
    <t>−5.90%</t>
  </si>
  <si>
    <t>−10.15%</t>
  </si>
  <si>
    <t>−1.54%</t>
  </si>
  <si>
    <t>−0.31%</t>
  </si>
  <si>
    <t>−3.83%</t>
  </si>
  <si>
    <t>−1.03%</t>
  </si>
  <si>
    <t>−1.37%</t>
  </si>
  <si>
    <t>−5.11%</t>
  </si>
  <si>
    <t>−1.22%</t>
  </si>
  <si>
    <t>−3.33%</t>
  </si>
  <si>
    <t>−2.78%</t>
  </si>
  <si>
    <t>−1.87%</t>
  </si>
  <si>
    <t>−3.73%</t>
  </si>
  <si>
    <t>−4.52%</t>
  </si>
  <si>
    <t>−3.97%</t>
  </si>
  <si>
    <t>−7.34%</t>
  </si>
  <si>
    <t>−6.13%</t>
  </si>
  <si>
    <t>−13.28%</t>
  </si>
  <si>
    <t>−18.00%</t>
  </si>
  <si>
    <t>−0.43%</t>
  </si>
  <si>
    <t>−0.32%</t>
  </si>
  <si>
    <t>−5.19%</t>
  </si>
  <si>
    <t>−5.67%</t>
  </si>
  <si>
    <t>−1.73%</t>
  </si>
  <si>
    <t>−4.26%</t>
  </si>
  <si>
    <t>−13.55%</t>
  </si>
  <si>
    <t>−4.39%</t>
  </si>
  <si>
    <t>−7.59%</t>
  </si>
  <si>
    <t>−17.18%</t>
  </si>
  <si>
    <t>−13.19%</t>
  </si>
  <si>
    <t>−6.46%</t>
  </si>
  <si>
    <t>−8.55%</t>
  </si>
  <si>
    <t>−15.56%</t>
  </si>
  <si>
    <t>−10.65%</t>
  </si>
  <si>
    <t>−4.16%</t>
  </si>
  <si>
    <t>−1.62%</t>
  </si>
  <si>
    <t>−9.32%</t>
  </si>
  <si>
    <t>−2.64%</t>
  </si>
  <si>
    <t>−0.60%</t>
  </si>
  <si>
    <t>−17.27%</t>
  </si>
  <si>
    <t>−15.42%</t>
  </si>
  <si>
    <t>−6.41%</t>
  </si>
  <si>
    <t>−17.26</t>
  </si>
  <si>
    <t>−8.05%</t>
  </si>
  <si>
    <t>−8.97%</t>
  </si>
  <si>
    <t>−13.84%</t>
  </si>
  <si>
    <t>−3.62%</t>
  </si>
  <si>
    <t>−8.20%</t>
  </si>
  <si>
    <t>−16.72%</t>
  </si>
  <si>
    <t>−11.21%</t>
  </si>
  <si>
    <t>−20.40%</t>
  </si>
  <si>
    <t>−5.63%</t>
  </si>
  <si>
    <t>−0.59%</t>
  </si>
  <si>
    <t>−21.00%</t>
  </si>
  <si>
    <t>−2.00%</t>
  </si>
  <si>
    <t>−4.13%</t>
  </si>
  <si>
    <t>−7.16%</t>
  </si>
  <si>
    <t>−7.68%</t>
  </si>
  <si>
    <t>−7.84%</t>
  </si>
  <si>
    <t>−1.40%</t>
  </si>
  <si>
    <t>−7.24%</t>
  </si>
  <si>
    <t>−1.17%</t>
  </si>
  <si>
    <t>−0.25%</t>
  </si>
  <si>
    <t>−6.84%</t>
  </si>
  <si>
    <t>−11.71%</t>
  </si>
  <si>
    <t>−22.81%</t>
  </si>
  <si>
    <t>−16.59%</t>
  </si>
  <si>
    <t>−1.90%</t>
  </si>
  <si>
    <t>−5.83%</t>
  </si>
  <si>
    <t>−11.72%</t>
  </si>
  <si>
    <t>−3.56%</t>
  </si>
  <si>
    <t>−9.38%</t>
  </si>
  <si>
    <t>−4.89%</t>
  </si>
  <si>
    <t>−17.77%</t>
  </si>
  <si>
    <t>−26.01%</t>
  </si>
  <si>
    <t>−25.12%</t>
  </si>
  <si>
    <t>−17.55%</t>
  </si>
  <si>
    <t>−14.58%</t>
  </si>
  <si>
    <t>−6.33%</t>
  </si>
  <si>
    <t>−3.77%</t>
  </si>
  <si>
    <t>−5.07%</t>
  </si>
  <si>
    <t>−1.71%</t>
  </si>
  <si>
    <t>−11.20%</t>
  </si>
  <si>
    <t>−4.17%</t>
  </si>
  <si>
    <t>−2.75%</t>
  </si>
  <si>
    <t>−12.03%</t>
  </si>
  <si>
    <t>−2.04%</t>
  </si>
  <si>
    <t>−5.42%</t>
  </si>
  <si>
    <t>−5.88%</t>
  </si>
  <si>
    <t>−4.00%</t>
  </si>
  <si>
    <t>−3.19%</t>
  </si>
  <si>
    <t>−1.16%</t>
  </si>
  <si>
    <t>−8.56%</t>
  </si>
  <si>
    <t>−5.39%</t>
  </si>
  <si>
    <t>−13.66%</t>
  </si>
  <si>
    <t>−21.47%</t>
  </si>
  <si>
    <t>−5.44%</t>
  </si>
  <si>
    <t>−53.70%</t>
  </si>
  <si>
    <t>−6.07%</t>
  </si>
  <si>
    <t>−63.37%</t>
  </si>
  <si>
    <t>−9.70%</t>
  </si>
  <si>
    <t>−3.96%</t>
  </si>
  <si>
    <t>−11.68%</t>
  </si>
  <si>
    <t>−10.08%</t>
  </si>
  <si>
    <t>−13.75%</t>
  </si>
  <si>
    <t>−5.00%</t>
  </si>
  <si>
    <t>−4.37%</t>
  </si>
  <si>
    <t>−16.32%</t>
  </si>
  <si>
    <t>−4.06%</t>
  </si>
  <si>
    <t>−9.87%</t>
  </si>
  <si>
    <t>−6.11%</t>
  </si>
  <si>
    <t>−16.12%</t>
  </si>
  <si>
    <t>−15.44%</t>
  </si>
  <si>
    <t>−12.70%</t>
  </si>
  <si>
    <t>−26.33%</t>
  </si>
  <si>
    <t>−17.45%</t>
  </si>
  <si>
    <t>−8.85%</t>
  </si>
  <si>
    <t>−10.00%</t>
  </si>
  <si>
    <t>−14.71%</t>
  </si>
  <si>
    <t>−13.14%</t>
  </si>
  <si>
    <t>−21.89%</t>
  </si>
  <si>
    <t>−23.81%</t>
  </si>
  <si>
    <t>−10.62%</t>
  </si>
  <si>
    <t>−35.33%</t>
  </si>
  <si>
    <t>−22.58%</t>
  </si>
  <si>
    <t>−36.87%</t>
  </si>
  <si>
    <t>−4.93%</t>
  </si>
  <si>
    <t>−63.00%</t>
  </si>
  <si>
    <t>−67.73%</t>
  </si>
  <si>
    <t>−7.12%</t>
  </si>
  <si>
    <t>−13.20%</t>
  </si>
  <si>
    <t>−11.16%</t>
  </si>
  <si>
    <t>−9.84%</t>
  </si>
  <si>
    <t>−2.44%</t>
  </si>
  <si>
    <t>−3.17%</t>
  </si>
  <si>
    <t>−10.91%</t>
  </si>
  <si>
    <t>−21.59%</t>
  </si>
  <si>
    <t>−19.89%</t>
  </si>
  <si>
    <t>−46.58%</t>
  </si>
  <si>
    <t>−18.35%</t>
  </si>
  <si>
    <t>−4.76%</t>
  </si>
  <si>
    <t>−14.89%</t>
  </si>
  <si>
    <t>−2.70%</t>
  </si>
  <si>
    <t>−29.76%</t>
  </si>
  <si>
    <t>−36.36%</t>
  </si>
  <si>
    <t>−0.25</t>
  </si>
  <si>
    <t>−10.39%</t>
  </si>
  <si>
    <t>−13.49%</t>
  </si>
  <si>
    <t>−15.20%</t>
  </si>
  <si>
    <t>−12.22%</t>
  </si>
  <si>
    <t>−9.35%</t>
  </si>
  <si>
    <t>−9.06%</t>
  </si>
  <si>
    <t>−17.10%</t>
  </si>
  <si>
    <t>−66.55%</t>
  </si>
  <si>
    <t>−31.90%</t>
  </si>
  <si>
    <t>−70.77%</t>
  </si>
  <si>
    <t>−35.08%</t>
  </si>
  <si>
    <t>−84.83%</t>
  </si>
  <si>
    <t>−38.83%</t>
  </si>
  <si>
    <t>−88.14%</t>
  </si>
  <si>
    <t>−6.95%</t>
  </si>
  <si>
    <t>−3.91%</t>
  </si>
  <si>
    <t>−4.64%</t>
  </si>
  <si>
    <t>−9.52%</t>
  </si>
  <si>
    <t>−12.85%</t>
  </si>
  <si>
    <t>−19.92%</t>
  </si>
  <si>
    <t>−4.87%</t>
  </si>
  <si>
    <t>−8.83%</t>
  </si>
  <si>
    <t>−3.51%</t>
  </si>
  <si>
    <t>−7.47%</t>
  </si>
  <si>
    <t>−9.61%</t>
  </si>
  <si>
    <t>−23.67%</t>
  </si>
  <si>
    <t>−31.30%</t>
  </si>
  <si>
    <t>−40.32%</t>
  </si>
  <si>
    <t>−38.33%</t>
  </si>
  <si>
    <t>−40.96%</t>
  </si>
  <si>
    <t>−51.66%</t>
  </si>
  <si>
    <t>Stock</t>
  </si>
  <si>
    <t>Price</t>
  </si>
  <si>
    <t>AvgVolume30</t>
  </si>
  <si>
    <t>AvgVolatility</t>
  </si>
  <si>
    <t>WeekChange</t>
  </si>
  <si>
    <t>MonthChange</t>
  </si>
  <si>
    <t>WeeklyPerf</t>
  </si>
  <si>
    <t>MonthlyPerf</t>
  </si>
  <si>
    <t>YearBeta</t>
  </si>
  <si>
    <t>Grand Total</t>
  </si>
  <si>
    <t>(All)</t>
  </si>
  <si>
    <t>0-10</t>
  </si>
  <si>
    <t>10-20</t>
  </si>
  <si>
    <t>20-30</t>
  </si>
  <si>
    <t>30-40</t>
  </si>
  <si>
    <t>40-50</t>
  </si>
  <si>
    <t>50-60</t>
  </si>
  <si>
    <t>60-70</t>
  </si>
  <si>
    <t>70-80</t>
  </si>
  <si>
    <t>80-90</t>
  </si>
  <si>
    <t>90-100</t>
  </si>
  <si>
    <t>100-110</t>
  </si>
  <si>
    <t>110-120</t>
  </si>
  <si>
    <t>120-130</t>
  </si>
  <si>
    <t>130-140</t>
  </si>
  <si>
    <t>140-150</t>
  </si>
  <si>
    <t>150-160</t>
  </si>
  <si>
    <t>160-170</t>
  </si>
  <si>
    <t>170-180</t>
  </si>
  <si>
    <t>180-190</t>
  </si>
  <si>
    <t>210-220</t>
  </si>
  <si>
    <t>220-230</t>
  </si>
  <si>
    <t>250-260</t>
  </si>
  <si>
    <t>280-290</t>
  </si>
  <si>
    <t>300-310</t>
  </si>
  <si>
    <t>330-340</t>
  </si>
  <si>
    <t>410-420</t>
  </si>
  <si>
    <t>420-430</t>
  </si>
  <si>
    <t>480-490</t>
  </si>
  <si>
    <t>0-10 Total</t>
  </si>
  <si>
    <t>10-20 Total</t>
  </si>
  <si>
    <t>20-30 Total</t>
  </si>
  <si>
    <t>30-40 Total</t>
  </si>
  <si>
    <t>40-50 Total</t>
  </si>
  <si>
    <t>50-60 Total</t>
  </si>
  <si>
    <t>60-70 Total</t>
  </si>
  <si>
    <t>70-80 Total</t>
  </si>
  <si>
    <t>90-100 Total</t>
  </si>
  <si>
    <t>100-110 Total</t>
  </si>
  <si>
    <t>130-140 Total</t>
  </si>
  <si>
    <t>150-160 Total</t>
  </si>
  <si>
    <t>Average of WeekChange</t>
  </si>
  <si>
    <t>Average of MonthChange</t>
  </si>
  <si>
    <t>Average of WeeklyPerf</t>
  </si>
  <si>
    <t>Average of MonthlyPerf</t>
  </si>
  <si>
    <t>Sum of YearBeta</t>
  </si>
  <si>
    <t>0-0.05</t>
  </si>
  <si>
    <t>0.05-0.1</t>
  </si>
  <si>
    <t>0.1-0.15</t>
  </si>
  <si>
    <t>0.15-0.2</t>
  </si>
  <si>
    <t>0.2-0.25</t>
  </si>
  <si>
    <t>0.25-0.3</t>
  </si>
  <si>
    <t>0.35-0.4</t>
  </si>
  <si>
    <t>0.5-0.55</t>
  </si>
  <si>
    <t>0-0.05 Total</t>
  </si>
  <si>
    <t>0.05-0.1 Total</t>
  </si>
  <si>
    <t>0.1-0.15 Total</t>
  </si>
  <si>
    <t>0.15-0.2 Total</t>
  </si>
  <si>
    <t>0.2-0.25 Total</t>
  </si>
  <si>
    <t>0.25-0.3 Total</t>
  </si>
  <si>
    <t>0.35-0.4 Total</t>
  </si>
  <si>
    <t>0.5-0.55 Total</t>
  </si>
  <si>
    <t>AvgVolume30 by Price</t>
  </si>
  <si>
    <t>AvgVolatility by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</si>
</sst>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0.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1F8FF"/>
        <bgColor indexed="64"/>
      </patternFill>
    </fill>
    <fill>
      <patternFill patternType="solid">
        <fgColor rgb="FFF8E6E6"/>
        <bgColor indexed="64"/>
      </patternFill>
    </fill>
    <fill>
      <patternFill patternType="solid">
        <fgColor rgb="FFE0F2DA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EBF7E7"/>
        <bgColor indexed="64"/>
      </patternFill>
    </fill>
    <fill>
      <patternFill patternType="solid">
        <fgColor rgb="FFFDF1E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8DADA"/>
        <bgColor indexed="64"/>
      </patternFill>
    </fill>
    <fill>
      <patternFill patternType="solid">
        <fgColor rgb="FFE4EEF7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3F2DE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10" fontId="0" fillId="0" borderId="0" xfId="0" applyNumberFormat="1"/>
    <xf numFmtId="0" fontId="1" fillId="14" borderId="1" xfId="0" applyFont="1" applyFill="1" applyBorder="1" applyAlignment="1">
      <alignment horizontal="left" wrapText="1"/>
    </xf>
    <xf numFmtId="169" fontId="1" fillId="2" borderId="1" xfId="0" applyNumberFormat="1" applyFont="1" applyFill="1" applyBorder="1" applyAlignment="1">
      <alignment horizontal="left" wrapText="1"/>
    </xf>
    <xf numFmtId="10" fontId="1" fillId="2" borderId="1" xfId="0" applyNumberFormat="1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10" fontId="1" fillId="4" borderId="1" xfId="0" applyNumberFormat="1" applyFont="1" applyFill="1" applyBorder="1" applyAlignment="1">
      <alignment horizontal="left" wrapText="1"/>
    </xf>
    <xf numFmtId="2" fontId="1" fillId="5" borderId="1" xfId="0" applyNumberFormat="1" applyFont="1" applyFill="1" applyBorder="1" applyAlignment="1">
      <alignment horizontal="left" wrapText="1"/>
    </xf>
    <xf numFmtId="10" fontId="1" fillId="6" borderId="1" xfId="0" applyNumberFormat="1" applyFont="1" applyFill="1" applyBorder="1" applyAlignment="1">
      <alignment horizontal="left" wrapText="1"/>
    </xf>
    <xf numFmtId="2" fontId="1" fillId="7" borderId="1" xfId="0" applyNumberFormat="1" applyFont="1" applyFill="1" applyBorder="1" applyAlignment="1">
      <alignment horizontal="left" wrapText="1"/>
    </xf>
    <xf numFmtId="169" fontId="1" fillId="8" borderId="1" xfId="0" applyNumberFormat="1" applyFont="1" applyFill="1" applyBorder="1" applyAlignment="1">
      <alignment horizontal="left" wrapText="1"/>
    </xf>
    <xf numFmtId="0" fontId="1" fillId="9" borderId="1" xfId="0" applyFont="1" applyFill="1" applyBorder="1" applyAlignment="1">
      <alignment horizontal="left" wrapText="1"/>
    </xf>
    <xf numFmtId="2" fontId="1" fillId="14" borderId="1" xfId="0" applyNumberFormat="1" applyFont="1" applyFill="1" applyBorder="1" applyAlignment="1">
      <alignment horizontal="left" wrapText="1"/>
    </xf>
    <xf numFmtId="169" fontId="1" fillId="10" borderId="1" xfId="0" applyNumberFormat="1" applyFont="1" applyFill="1" applyBorder="1" applyAlignment="1">
      <alignment horizontal="left" wrapText="1"/>
    </xf>
    <xf numFmtId="10" fontId="1" fillId="11" borderId="1" xfId="0" applyNumberFormat="1" applyFont="1" applyFill="1" applyBorder="1" applyAlignment="1">
      <alignment horizontal="left" wrapText="1"/>
    </xf>
    <xf numFmtId="10" fontId="1" fillId="10" borderId="1" xfId="0" applyNumberFormat="1" applyFont="1" applyFill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10" fontId="1" fillId="12" borderId="1" xfId="0" applyNumberFormat="1" applyFont="1" applyFill="1" applyBorder="1" applyAlignment="1">
      <alignment horizontal="left" wrapText="1"/>
    </xf>
    <xf numFmtId="10" fontId="1" fillId="7" borderId="1" xfId="0" applyNumberFormat="1" applyFont="1" applyFill="1" applyBorder="1" applyAlignment="1">
      <alignment horizontal="left" wrapText="1"/>
    </xf>
    <xf numFmtId="10" fontId="1" fillId="8" borderId="1" xfId="0" applyNumberFormat="1" applyFont="1" applyFill="1" applyBorder="1" applyAlignment="1">
      <alignment horizontal="left" wrapText="1"/>
    </xf>
    <xf numFmtId="0" fontId="1" fillId="13" borderId="1" xfId="0" applyFont="1" applyFill="1" applyBorder="1" applyAlignment="1">
      <alignment horizontal="left" wrapText="1"/>
    </xf>
    <xf numFmtId="0" fontId="0" fillId="0" borderId="0" xfId="0" pivotButton="1"/>
    <xf numFmtId="0" fontId="0" fillId="0" borderId="0" xfId="0" applyNumberFormat="1"/>
    <xf numFmtId="2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169" fontId="0" fillId="0" borderId="0" xfId="0" applyNumberFormat="1" applyAlignment="1">
      <alignment horizontal="left"/>
    </xf>
    <xf numFmtId="2" fontId="0" fillId="0" borderId="0" xfId="0" applyNumberFormat="1" applyAlignment="1">
      <alignment horizontal="left" indent="1"/>
    </xf>
  </cellXfs>
  <cellStyles count="1">
    <cellStyle name="Normal" xfId="0" builtinId="0"/>
  </cellStyles>
  <dxfs count="10">
    <dxf>
      <numFmt numFmtId="2" formatCode="0.00"/>
      <fill>
        <patternFill>
          <fgColor indexed="64"/>
          <bgColor theme="0"/>
        </patternFill>
      </fill>
      <alignment horizontal="left" vertical="bottom" textRotation="0" wrapText="1" indent="0" justifyLastLine="0" shrinkToFit="0" readingOrder="0"/>
      <border outline="0">
        <left style="medium">
          <color rgb="FFCCCCCC"/>
        </left>
        <right style="medium">
          <color rgb="FFCCCCCC"/>
        </right>
      </border>
    </dxf>
    <dxf>
      <numFmt numFmtId="169" formatCode="0.000"/>
      <alignment horizontal="left" vertical="bottom" textRotation="0" wrapText="1" indent="0" justifyLastLine="0" shrinkToFit="0" readingOrder="0"/>
      <border outline="0">
        <left style="medium">
          <color rgb="FFCCCCCC"/>
        </left>
      </border>
    </dxf>
    <dxf>
      <fill>
        <patternFill>
          <fgColor indexed="64"/>
          <bgColor theme="0"/>
        </patternFill>
      </fill>
      <alignment horizontal="left" vertical="bottom" textRotation="0" wrapText="1" indent="0" justifyLastLine="0" shrinkToFit="0" readingOrder="0"/>
      <border outline="0">
        <right style="medium">
          <color rgb="FFCCCCCC"/>
        </right>
      </border>
    </dxf>
    <dxf>
      <alignment horizontal="left" vertical="bottom" textRotation="0" wrapText="1" indent="0" justifyLastLine="0" shrinkToFit="0" readingOrder="0"/>
    </dxf>
    <dxf>
      <numFmt numFmtId="2" formatCode="0.00"/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  <border outline="0">
        <right style="medium">
          <color rgb="FFCCCCCC"/>
        </right>
      </border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  <border outline="0">
        <left style="medium">
          <color rgb="FFCCCCCC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ome" refreshedDate="46075.738007754633" missingItemsLimit="0" createdVersion="6" refreshedVersion="6" minRefreshableVersion="3" recordCount="279">
  <cacheSource type="worksheet">
    <worksheetSource name="Table1"/>
  </cacheSource>
  <cacheFields count="9">
    <cacheField name="Stock" numFmtId="0">
      <sharedItems count="279">
        <s v="ADBE"/>
        <s v="NFLX"/>
        <s v="NVDA"/>
        <s v="MSFT"/>
        <s v="HD"/>
        <s v="META"/>
        <s v="TSLA"/>
        <s v="PANW"/>
        <s v="V"/>
        <s v="CRM"/>
        <s v="BA"/>
        <s v="AAPL"/>
        <s v="SNOW"/>
        <s v="PEP"/>
        <s v="TXN"/>
        <s v="JNJ"/>
        <s v="WMT"/>
        <s v="CVX"/>
        <s v="PG"/>
        <s v="AMAT"/>
        <s v="JPM"/>
        <s v="TMUS"/>
        <s v="ABBV"/>
        <s v="TGT"/>
        <s v="AMZN"/>
        <s v="ABNB"/>
        <s v="GOOG"/>
        <s v="QCOM"/>
        <s v="ORCL"/>
        <s v="NKE"/>
        <s v="MRK"/>
        <s v="AMD"/>
        <s v="ABT"/>
        <s v="GE"/>
        <s v="XOM"/>
        <s v="COP"/>
        <s v="SBUX"/>
        <s v="PM"/>
        <s v="ON"/>
        <s v="DIS"/>
        <s v="MDT"/>
        <s v="MCHP"/>
        <s v="MS"/>
        <s v="ATVI"/>
        <s v="TJX"/>
        <s v="GILD"/>
        <s v="CL"/>
        <s v="FTNT"/>
        <s v="NEE"/>
        <s v="MDLZ"/>
        <s v="COIN"/>
        <s v="CVS"/>
        <s v="MU"/>
        <s v="NET"/>
        <s v="PYPL"/>
        <s v="ROKU"/>
        <s v="SQ"/>
        <s v="SHOP"/>
        <s v="BMY"/>
        <s v="W"/>
        <s v="KO"/>
        <s v="MRVL"/>
        <s v="OXY"/>
        <s v="UAL"/>
        <s v="SCHW"/>
        <s v="MET"/>
        <s v="BSX"/>
        <s v="FIS"/>
        <s v="DELL"/>
        <s v="DOCU"/>
        <s v="CSCO"/>
        <s v="CARR"/>
        <s v="SLB"/>
        <s v="DVN"/>
        <s v="KR"/>
        <s v="DAL"/>
        <s v="C"/>
        <s v="MO"/>
        <s v="UBER"/>
        <s v="U"/>
        <s v="MTCH"/>
        <s v="CMCSA"/>
        <s v="NEM"/>
        <s v="WFC"/>
        <s v="EXC"/>
        <s v="RBLX"/>
        <s v="EQT"/>
        <s v="FCX"/>
        <s v="GM"/>
        <s v="VZ"/>
        <s v="NRG"/>
        <s v="OVV"/>
        <s v="PFE"/>
        <s v="PSTG"/>
        <s v="CFLT"/>
        <s v="LUV"/>
        <s v="AI"/>
        <s v="KHC"/>
        <s v="UPST"/>
        <s v="GLW"/>
        <s v="SYF"/>
        <s v="CSX"/>
        <s v="INTC"/>
        <s v="APA"/>
        <s v="HAL"/>
        <s v="USB"/>
        <s v="WMB"/>
        <s v="ONON"/>
        <s v="BKR"/>
        <s v="KDP"/>
        <s v="TFC"/>
        <s v="HPQ"/>
        <s v="WBA"/>
        <s v="PINS"/>
        <s v="BAC"/>
        <s v="CVNA"/>
        <s v="ZION"/>
        <s v="DBX"/>
        <s v="FL"/>
        <s v="FITB"/>
        <s v="PPL"/>
        <s v="CFG"/>
        <s v="DKNG"/>
        <s v="ZI"/>
        <s v="GME"/>
        <s v="CTRA"/>
        <s v="X"/>
        <s v="GPK"/>
        <s v="VRT"/>
        <s v="XP"/>
        <s v="KSS"/>
        <s v="MRO"/>
        <s v="TOST"/>
        <s v="AR"/>
        <s v="NCLH"/>
        <s v="AES"/>
        <s v="AVTR"/>
        <s v="JWN"/>
        <s v="IMGN"/>
        <s v="VFC"/>
        <s v="RUN"/>
        <s v="AAL"/>
        <s v="RF"/>
        <s v="CCL"/>
        <s v="CPNG"/>
        <s v="ENVX"/>
        <s v="KMI"/>
        <s v="PCG"/>
        <s v="GOLD"/>
        <s v="CLF"/>
        <s v="HPE"/>
        <s v="BE"/>
        <s v="FTI"/>
        <s v="T"/>
        <s v="PARA"/>
        <s v="M"/>
        <s v="AFRM"/>
        <s v="PLTR"/>
        <s v="S"/>
        <s v="F"/>
        <s v="RIVN"/>
        <s v="IONQ"/>
        <s v="MARA"/>
        <s v="STNE"/>
        <s v="ET"/>
        <s v="WBD"/>
        <s v="SNAP"/>
        <s v="RIOT"/>
        <s v="AEO"/>
        <s v="WU"/>
        <s v="NYCB"/>
        <s v="FHN"/>
        <s v="PR"/>
        <s v="HBAN"/>
        <s v="LYFT"/>
        <s v="HOOD"/>
        <s v="SPWR"/>
        <s v="ELAN"/>
        <s v="AMCR"/>
        <s v="VTRS"/>
        <s v="PLUG"/>
        <s v="ETRN"/>
        <s v="PAGS"/>
        <s v="KEY"/>
        <s v="NWL"/>
        <s v="SOFI"/>
        <s v="JBLU"/>
        <s v="GPS"/>
        <s v="CHPT"/>
        <s v="PACW"/>
        <s v="NU"/>
        <s v="APLD"/>
        <s v="NVAX"/>
        <s v="IOVA"/>
        <s v="PTON"/>
        <s v="QS"/>
        <s v="UCAR"/>
        <s v="LAZR"/>
        <s v="DISH"/>
        <s v="LCID"/>
        <s v="FTCH"/>
        <s v="SWN"/>
        <s v="BDTX"/>
        <s v="VCIG"/>
        <s v="KOS"/>
        <s v="STEM"/>
        <s v="FSR"/>
        <s v="EOSE"/>
        <s v="HL"/>
        <s v="MQ"/>
        <s v="SPCE"/>
        <s v="SOUN"/>
        <s v="BTBT"/>
        <s v="AMC"/>
        <s v="HBI"/>
        <s v="SIRI"/>
        <s v="CLSK"/>
        <s v="OPEN"/>
        <s v="EVGO"/>
        <s v="MVIS"/>
        <s v="UEC"/>
        <s v="ARDX"/>
        <s v="GRAB"/>
        <s v="SABR"/>
        <s v="GERN"/>
        <s v="ENVB"/>
        <s v="MBOT"/>
        <s v="CDE"/>
        <s v="ATUS"/>
        <s v="AUR"/>
        <s v="BBAI"/>
        <s v="QBTS"/>
        <s v="LUMN"/>
        <s v="FCEL"/>
        <s v="FUBO"/>
        <s v="XFOR"/>
        <s v="DNA"/>
        <s v="AGEN"/>
        <s v="TLRY"/>
        <s v="GEVO"/>
        <s v="WLDS"/>
        <s v="TELL"/>
        <s v="TIO"/>
        <s v="FRZA"/>
        <s v="NKLA"/>
        <s v="NVTA"/>
        <s v="CLOV"/>
        <s v="WKHS"/>
        <s v="SENS"/>
        <s v="BNGO"/>
        <s v="SONN"/>
        <s v="OCGN"/>
        <s v="WORX"/>
        <s v="AUUD"/>
        <s v="GOEV"/>
        <s v="INO"/>
        <s v="AGLE"/>
        <s v="SRGA"/>
        <s v="SEV"/>
        <s v="UTRS"/>
        <s v="WE"/>
        <s v="EEVLO"/>
        <s v="BNTC"/>
        <s v="RCRT"/>
        <s v="IRNT"/>
        <s v="FFIE"/>
        <s v="ARDS"/>
        <s v="MMAT"/>
        <s v="MIMO"/>
        <s v="MOBQ"/>
        <s v="NVOS"/>
        <s v="MCOM"/>
        <s v="TIVC"/>
        <s v="MULN"/>
        <s v="NAVB"/>
        <s v="IDEX"/>
        <s v="BIOL"/>
        <s v="TTOO"/>
        <s v="SYTA"/>
      </sharedItems>
    </cacheField>
    <cacheField name="Price" numFmtId="2">
      <sharedItems containsSemiMixedTypes="0" containsString="0" containsNumber="1" minValue="0.06" maxValue="482.43" count="270">
        <n v="482.43"/>
        <n v="429.84"/>
        <n v="411.17"/>
        <n v="335.85"/>
        <n v="306.51"/>
        <n v="285.29000000000002"/>
        <n v="256.24"/>
        <n v="253.41"/>
        <n v="227.96"/>
        <n v="212.17"/>
        <n v="210.72"/>
        <n v="189.25"/>
        <n v="183.85"/>
        <n v="183.7"/>
        <n v="174.96"/>
        <n v="162.96"/>
        <n v="155.33000000000001"/>
        <n v="154.91999999999999"/>
        <n v="149.99"/>
        <n v="144.03"/>
        <n v="138.59"/>
        <n v="136.27000000000001"/>
        <n v="132.51"/>
        <n v="132.47"/>
        <n v="129.04"/>
        <n v="127.63"/>
        <n v="121.08"/>
        <n v="117.54"/>
        <n v="116.53"/>
        <n v="113.03"/>
        <n v="112.44"/>
        <n v="110.17"/>
        <n v="107.61"/>
        <n v="107.05"/>
        <n v="105.4"/>
        <n v="102.51"/>
        <n v="98.61"/>
        <n v="96.2"/>
        <n v="91.21"/>
        <n v="88.83"/>
        <n v="86.36"/>
        <n v="85.88"/>
        <n v="83.99"/>
        <n v="83.6"/>
        <n v="82.66"/>
        <n v="76.180000000000007"/>
        <n v="75.91"/>
        <n v="74.33"/>
        <n v="73.44"/>
        <n v="73.22"/>
        <n v="70.75"/>
        <n v="68.14"/>
        <n v="67.069999999999993"/>
        <n v="66.48"/>
        <n v="66.03"/>
        <n v="65.22"/>
        <n v="64.77"/>
        <n v="64.62"/>
        <n v="64.09"/>
        <n v="62.5"/>
        <n v="60.52"/>
        <n v="60.07"/>
        <n v="57.46"/>
        <n v="56.3"/>
        <n v="55.78"/>
        <n v="54.87"/>
        <n v="53.45"/>
        <n v="53.1"/>
        <n v="51.77"/>
        <n v="51.72"/>
        <n v="50.87"/>
        <n v="49.32"/>
        <n v="48.59"/>
        <n v="47.69"/>
        <n v="47.17"/>
        <n v="46.71"/>
        <n v="46.23"/>
        <n v="44.5"/>
        <n v="44.24"/>
        <n v="44.12"/>
        <n v="41.95"/>
        <n v="41.67"/>
        <n v="41.18"/>
        <n v="40.619999999999997"/>
        <n v="40.090000000000003"/>
        <n v="40.020000000000003"/>
        <n v="39.75"/>
        <n v="39.22"/>
        <n v="38.19"/>
        <n v="36.82"/>
        <n v="36.56"/>
        <n v="36.33"/>
        <n v="36.29"/>
        <n v="35.86"/>
        <n v="35.54"/>
        <n v="35.47"/>
        <n v="35.46"/>
        <n v="35.020000000000003"/>
        <n v="34.840000000000003"/>
        <n v="34.78"/>
        <n v="33.85"/>
        <n v="33.590000000000003"/>
        <n v="33.57"/>
        <n v="33.200000000000003"/>
        <n v="32.56"/>
        <n v="32.32"/>
        <n v="32.020000000000003"/>
        <n v="31.98"/>
        <n v="31.13"/>
        <n v="30.9"/>
        <n v="30.47"/>
        <n v="29.94"/>
        <n v="29.08"/>
        <n v="28.14"/>
        <n v="28.07"/>
        <n v="28.03"/>
        <n v="27.09"/>
        <n v="26.72"/>
        <n v="26.35"/>
        <n v="26.33"/>
        <n v="26.2"/>
        <n v="25.66"/>
        <n v="25.61"/>
        <n v="24.98"/>
        <n v="24.47"/>
        <n v="24.45"/>
        <n v="24.02"/>
        <n v="23.35"/>
        <n v="22.62"/>
        <n v="22.58"/>
        <n v="22.34"/>
        <n v="22.32"/>
        <n v="22.12"/>
        <n v="21.07"/>
        <n v="20.2"/>
        <n v="19.510000000000002"/>
        <n v="19.43"/>
        <n v="18.89"/>
        <n v="18.79"/>
        <n v="18.440000000000001"/>
        <n v="17.55"/>
        <n v="17.37"/>
        <n v="17.29"/>
        <n v="17.2"/>
        <n v="17.190000000000001"/>
        <n v="17.010000000000002"/>
        <n v="16.91"/>
        <n v="16.600000000000001"/>
        <n v="16.39"/>
        <n v="16.36"/>
        <n v="16.18"/>
        <n v="15.9"/>
        <n v="15.78"/>
        <n v="15.74"/>
        <n v="15.51"/>
        <n v="15.48"/>
        <n v="15.28"/>
        <n v="14.88"/>
        <n v="14.79"/>
        <n v="14.64"/>
        <n v="13.35"/>
        <n v="13.16"/>
        <n v="12.75"/>
        <n v="12.74"/>
        <n v="12.45"/>
        <n v="11.65"/>
        <n v="11.54"/>
        <n v="11.49"/>
        <n v="11.19"/>
        <n v="11.15"/>
        <n v="10.76"/>
        <n v="10.55"/>
        <n v="10.45"/>
        <n v="10.18"/>
        <n v="10.15"/>
        <n v="9.9600000000000009"/>
        <n v="9.81"/>
        <n v="9.7200000000000006"/>
        <n v="9.44"/>
        <n v="9.3800000000000008"/>
        <n v="9.34"/>
        <n v="9.31"/>
        <n v="8.99"/>
        <n v="8.8699999999999992"/>
        <n v="8.73"/>
        <n v="8.5399999999999991"/>
        <n v="8.36"/>
        <n v="8.16"/>
        <n v="7.8"/>
        <n v="7.74"/>
        <n v="7.53"/>
        <n v="7.38"/>
        <n v="7.3"/>
        <n v="7.28"/>
        <n v="7.2"/>
        <n v="6.63"/>
        <n v="6.6"/>
        <n v="6.42"/>
        <n v="6.14"/>
        <n v="5.74"/>
        <n v="5.73"/>
        <n v="5.69"/>
        <n v="5.48"/>
        <n v="5.32"/>
        <n v="5.23"/>
        <n v="5.03"/>
        <n v="4.8"/>
        <n v="4.74"/>
        <n v="4.71"/>
        <n v="4.47"/>
        <n v="4.41"/>
        <n v="4.33"/>
        <n v="4.2699999999999996"/>
        <n v="4.2300000000000004"/>
        <n v="3.98"/>
        <n v="3.95"/>
        <n v="3.62"/>
        <n v="3.41"/>
        <n v="3.39"/>
        <n v="3.25"/>
        <n v="3.19"/>
        <n v="3.11"/>
        <n v="3.1"/>
        <n v="2.93"/>
        <n v="2.81"/>
        <n v="2.73"/>
        <n v="2.57"/>
        <n v="2.2999999999999998"/>
        <n v="2.25"/>
        <n v="2.1800000000000002"/>
        <n v="2.12"/>
        <n v="1.98"/>
        <n v="1.92"/>
        <n v="1.82"/>
        <n v="1.71"/>
        <n v="1.58"/>
        <n v="1.44"/>
        <n v="1.39"/>
        <n v="1.35"/>
        <n v="1.32"/>
        <n v="1.21"/>
        <n v="1.1599999999999999"/>
        <n v="1.1399999999999999"/>
        <n v="0.87"/>
        <n v="0.8"/>
        <n v="0.74"/>
        <n v="0.57999999999999996"/>
        <n v="0.53"/>
        <n v="0.52"/>
        <n v="0.47"/>
        <n v="0.44"/>
        <n v="0.43"/>
        <n v="0.39"/>
        <n v="0.38"/>
        <n v="0.3"/>
        <n v="0.28000000000000003"/>
        <n v="0.26"/>
        <n v="0.25"/>
        <n v="0.23"/>
        <n v="0.22"/>
        <n v="0.21"/>
        <n v="0.2"/>
        <n v="0.17"/>
        <n v="0.15"/>
        <n v="0.14000000000000001"/>
        <n v="0.11"/>
        <n v="0.09"/>
        <n v="0.08"/>
        <n v="7.0000000000000007E-2"/>
        <n v="0.06"/>
      </sharedItems>
      <fieldGroup base="1">
        <rangePr autoStart="0" startNum="0" endNum="482.43" groupInterval="10"/>
        <groupItems count="51">
          <s v="&lt;0"/>
          <s v="0-10"/>
          <s v="10-20"/>
          <s v="20-30"/>
          <s v="30-40"/>
          <s v="40-50"/>
          <s v="50-60"/>
          <s v="60-70"/>
          <s v="70-80"/>
          <s v="80-90"/>
          <s v="90-100"/>
          <s v="100-110"/>
          <s v="110-120"/>
          <s v="120-130"/>
          <s v="130-140"/>
          <s v="140-150"/>
          <s v="150-160"/>
          <s v="160-170"/>
          <s v="170-180"/>
          <s v="180-190"/>
          <s v="190-200"/>
          <s v="200-210"/>
          <s v="210-220"/>
          <s v="220-230"/>
          <s v="230-240"/>
          <s v="240-250"/>
          <s v="250-260"/>
          <s v="260-270"/>
          <s v="270-280"/>
          <s v="280-290"/>
          <s v="290-300"/>
          <s v="300-310"/>
          <s v="310-320"/>
          <s v="320-330"/>
          <s v="330-340"/>
          <s v="340-350"/>
          <s v="350-360"/>
          <s v="360-370"/>
          <s v="370-380"/>
          <s v="380-390"/>
          <s v="390-400"/>
          <s v="400-410"/>
          <s v="410-420"/>
          <s v="420-430"/>
          <s v="430-440"/>
          <s v="440-450"/>
          <s v="450-460"/>
          <s v="460-470"/>
          <s v="470-480"/>
          <s v="480-490"/>
          <s v="&gt;490"/>
        </groupItems>
      </fieldGroup>
    </cacheField>
    <cacheField name="AvgVolume30" numFmtId="169">
      <sharedItems containsSemiMixedTypes="0" containsString="0" containsNumber="1" minValue="5.0039999999999996" maxValue="154.45599999999999" count="278">
        <n v="5.0039999999999996"/>
        <n v="7.4930000000000003"/>
        <n v="57.95"/>
        <n v="28.116"/>
        <n v="5.431"/>
        <n v="23.024999999999999"/>
        <n v="154.45599999999999"/>
        <n v="7.9649999999999999"/>
        <n v="7.4039999999999999"/>
        <n v="8.4239999999999995"/>
        <n v="5.62"/>
        <n v="59.786999999999999"/>
        <n v="7.7389999999999999"/>
        <n v="5.1870000000000003"/>
        <n v="5.32"/>
        <n v="6.8650000000000002"/>
        <n v="6.7110000000000003"/>
        <n v="8.7729999999999997"/>
        <n v="6.57"/>
        <n v="6.4589999999999996"/>
        <n v="9.6660000000000004"/>
        <n v="8.2230000000000008"/>
        <n v="6.3490000000000002"/>
        <n v="7.7060000000000004"/>
        <n v="63.85"/>
        <n v="6.1740000000000004"/>
        <n v="26.683"/>
        <n v="9.3580000000000005"/>
        <n v="13.961"/>
        <n v="9.891"/>
        <n v="7.9260000000000002"/>
        <n v="77.730999999999995"/>
        <n v="5.05"/>
        <n v="5.4829999999999997"/>
        <n v="15.358000000000001"/>
        <n v="6.0990000000000002"/>
        <n v="7.0439999999999996"/>
        <n v="5.0389999999999997"/>
        <n v="7.8170000000000002"/>
        <n v="13.856999999999999"/>
        <n v="6.1630000000000003"/>
        <n v="5.3"/>
        <n v="7.1849999999999996"/>
        <n v="6.58"/>
        <n v="5.524"/>
        <n v="5.9279999999999999"/>
        <n v="5.4850000000000003"/>
        <n v="5.7439999999999998"/>
        <n v="7.8319999999999999"/>
        <n v="6.21"/>
        <n v="15.48"/>
        <n v="9.2910000000000004"/>
        <n v="18.763999999999999"/>
        <n v="5.4340000000000002"/>
        <n v="19.457000000000001"/>
        <n v="6.5449999999999999"/>
        <n v="9.2579999999999991"/>
        <n v="14.218999999999999"/>
        <n v="8.5890000000000004"/>
        <n v="5.7119999999999997"/>
        <n v="15.81"/>
        <n v="19.765999999999998"/>
        <n v="11.148999999999999"/>
        <n v="6.1609999999999996"/>
        <n v="12.875"/>
        <n v="5.8369999999999997"/>
        <n v="8.0120000000000005"/>
        <n v="5.25"/>
        <n v="5.45"/>
        <n v="5.1859999999999999"/>
        <n v="20.347999999999999"/>
        <n v="5.6340000000000003"/>
        <n v="9.6999999999999993"/>
        <n v="8.7189999999999994"/>
        <n v="6.3440000000000003"/>
        <n v="11.454000000000001"/>
        <n v="14.747"/>
        <n v="7.6479999999999997"/>
        <n v="22.698"/>
        <n v="17.154"/>
        <n v="5.6710000000000003"/>
        <n v="19.975999999999999"/>
        <n v="8.5489999999999995"/>
        <n v="19.004000000000001"/>
        <n v="6.7649999999999997"/>
        <n v="8.85"/>
        <n v="6.9089999999999998"/>
        <n v="12.509"/>
        <n v="13.789"/>
        <n v="22.138000000000002"/>
        <n v="6.032"/>
        <n v="5.1280000000000001"/>
        <n v="31.262"/>
        <n v="5.7469999999999999"/>
        <n v="5.2869999999999999"/>
        <n v="6.9290000000000003"/>
        <n v="41.127000000000002"/>
        <n v="7.9829999999999997"/>
        <n v="11.955"/>
        <n v="5.4640000000000004"/>
        <n v="6.5049999999999999"/>
        <n v="12.042999999999999"/>
        <n v="52.076000000000001"/>
        <n v="5.6379999999999999"/>
        <n v="9.8320000000000007"/>
        <n v="15.191000000000001"/>
        <n v="8.1760000000000002"/>
        <n v="5.133"/>
        <n v="7.0979999999999999"/>
        <n v="9.6120000000000001"/>
        <n v="12.276"/>
        <n v="9.2080000000000002"/>
        <n v="9.7439999999999998"/>
        <n v="11.179"/>
        <n v="46.356999999999999"/>
        <n v="31.925999999999998"/>
        <n v="5.1040000000000001"/>
        <n v="5.585"/>
        <n v="5.532"/>
        <n v="6.3019999999999996"/>
        <n v="5.0919999999999996"/>
        <n v="6.9569999999999999"/>
        <n v="11.465"/>
        <n v="7.5019999999999998"/>
        <n v="5.367"/>
        <n v="8.0030000000000001"/>
        <n v="6.8579999999999997"/>
        <n v="5.3659999999999997"/>
        <n v="6.1879999999999997"/>
        <n v="7.7869999999999999"/>
        <n v="6.7430000000000003"/>
        <n v="12.44"/>
        <n v="7.1550000000000002"/>
        <n v="6.1580000000000004"/>
        <n v="15.163"/>
        <n v="7.2450000000000001"/>
        <n v="6.2050000000000001"/>
        <n v="5.4240000000000004"/>
        <n v="6.8760000000000003"/>
        <n v="8.08"/>
        <n v="8.4090000000000007"/>
        <n v="23.433"/>
        <n v="8.9640000000000004"/>
        <n v="46.399000000000001"/>
        <n v="10.691000000000001"/>
        <n v="6.8730000000000002"/>
        <n v="13.882999999999999"/>
        <n v="17.602"/>
        <n v="14.506"/>
        <n v="8.7059999999999995"/>
        <n v="16.061"/>
        <n v="5.6959999999999997"/>
        <n v="5.74"/>
        <n v="42.47"/>
        <n v="16.288"/>
        <n v="14.74"/>
        <n v="17.805"/>
        <n v="103.026"/>
        <n v="10.895"/>
        <n v="62.372"/>
        <n v="28.949000000000002"/>
        <n v="13.247999999999999"/>
        <n v="39.64"/>
        <n v="5.3979999999999997"/>
        <n v="9.2590000000000003"/>
        <n v="25.635000000000002"/>
        <n v="22.506"/>
        <n v="20.161999999999999"/>
        <n v="5.8479999999999999"/>
        <n v="5.4039999999999999"/>
        <n v="11.701000000000001"/>
        <n v="12.323"/>
        <n v="7.157"/>
        <n v="14.186999999999999"/>
        <n v="14.929"/>
        <n v="7.8479999999999999"/>
        <n v="5.0220000000000002"/>
        <n v="7.9539999999999997"/>
        <n v="7.8390000000000004"/>
        <n v="9.8620000000000001"/>
        <n v="26.183"/>
        <n v="9.6259999999999994"/>
        <n v="6.3789999999999996"/>
        <n v="19.471"/>
        <n v="8.2840000000000007"/>
        <n v="62.847000000000001"/>
        <n v="11.759"/>
        <n v="10.425000000000001"/>
        <n v="13.371"/>
        <n v="23.204000000000001"/>
        <n v="36.204999999999998"/>
        <n v="10.039"/>
        <n v="5.6740000000000004"/>
        <n v="6.952"/>
        <n v="10.94"/>
        <n v="5.5259999999999998"/>
        <n v="8.8179999999999996"/>
        <n v="8.0050000000000008"/>
        <n v="16.593"/>
        <n v="41.936"/>
        <n v="14.603"/>
        <n v="21.492000000000001"/>
        <n v="7.2460000000000004"/>
        <n v="5.7389999999999999"/>
        <n v="5.3849999999999998"/>
        <n v="6.1289999999999996"/>
        <n v="7.3959999999999999"/>
        <n v="7.42"/>
        <n v="6.6630000000000003"/>
        <n v="5.3150000000000004"/>
        <n v="27.994"/>
        <n v="17.867000000000001"/>
        <n v="5.3460000000000001"/>
        <n v="15.457000000000001"/>
        <n v="8.9450000000000003"/>
        <n v="18.263999999999999"/>
        <n v="8.3390000000000004"/>
        <n v="27.166"/>
        <n v="6.0830000000000002"/>
        <n v="9.4559999999999995"/>
        <n v="5.87"/>
        <n v="6.4989999999999997"/>
        <n v="21.599"/>
        <n v="8.3529999999999998"/>
        <n v="7.7489999999999997"/>
        <n v="7.423"/>
        <n v="8.1539999999999999"/>
        <n v="5.6289999999999996"/>
        <n v="5.0830000000000002"/>
        <n v="5.8319999999999999"/>
        <n v="7.0090000000000003"/>
        <n v="9.24"/>
        <n v="27.867000000000001"/>
        <n v="15.144"/>
        <n v="5.0730000000000004"/>
        <n v="26.431999999999999"/>
        <n v="6.298"/>
        <n v="16.654"/>
        <n v="6.7569999999999997"/>
        <n v="8.7560000000000002"/>
        <n v="9.5500000000000007"/>
        <n v="15.167"/>
        <n v="5.6029999999999998"/>
        <n v="67.701999999999998"/>
        <n v="8.2609999999999992"/>
        <n v="10.526"/>
        <n v="10.43"/>
        <n v="9.0150000000000006"/>
        <n v="10.662000000000001"/>
        <n v="6.98"/>
        <n v="10.53"/>
        <n v="9.33"/>
        <n v="6.6369999999999996"/>
        <n v="23.879000000000001"/>
        <n v="12.930999999999999"/>
        <n v="11.125"/>
        <n v="5.2229999999999999"/>
        <n v="11.180999999999999"/>
        <n v="8.6110000000000007"/>
        <n v="28.814"/>
        <n v="15.082000000000001"/>
        <n v="6.8360000000000003"/>
        <n v="5.2549999999999999"/>
        <n v="7.5449999999999999"/>
        <n v="103.18"/>
        <n v="6.9249999999999998"/>
        <n v="7.9960000000000004"/>
        <n v="6.9260000000000002"/>
        <n v="9.1519999999999992"/>
        <n v="6.1749999999999998"/>
        <n v="9.4489999999999998"/>
        <n v="8.6120000000000001"/>
        <n v="138.41200000000001"/>
        <n v="11.529"/>
        <n v="91.86"/>
        <n v="12.449"/>
        <n v="55.008000000000003"/>
        <n v="6.9589999999999996"/>
      </sharedItems>
      <fieldGroup base="2">
        <rangePr autoStart="0" startNum="0" endNum="154.45599999999999" groupInterval="10"/>
        <groupItems count="18">
          <s v="&lt;0"/>
          <s v="0-10"/>
          <s v="10-20"/>
          <s v="20-30"/>
          <s v="30-40"/>
          <s v="40-50"/>
          <s v="50-60"/>
          <s v="60-70"/>
          <s v="70-80"/>
          <s v="80-90"/>
          <s v="90-100"/>
          <s v="100-110"/>
          <s v="110-120"/>
          <s v="120-130"/>
          <s v="130-140"/>
          <s v="140-150"/>
          <s v="150-160"/>
          <s v="&gt;160"/>
        </groupItems>
      </fieldGroup>
    </cacheField>
    <cacheField name="AvgVolatility" numFmtId="10">
      <sharedItems containsSemiMixedTypes="0" containsString="0" containsNumber="1" minValue="7.4000000000000003E-3" maxValue="0.53610000000000002" count="242">
        <n v="1.95E-2"/>
        <n v="4.7800000000000002E-2"/>
        <n v="3.3500000000000002E-2"/>
        <n v="1.2500000000000001E-2"/>
        <n v="2.5100000000000001E-2"/>
        <n v="1.9300000000000001E-2"/>
        <n v="4.4200000000000003E-2"/>
        <n v="3.0599999999999999E-2"/>
        <n v="8.9999999999999993E-3"/>
        <n v="2.2200000000000001E-2"/>
        <n v="1.32E-2"/>
        <n v="1.23E-2"/>
        <n v="8.3400000000000002E-2"/>
        <n v="1.83E-2"/>
        <n v="1.21E-2"/>
        <n v="8.5000000000000006E-3"/>
        <n v="7.7000000000000002E-3"/>
        <n v="1.8599999999999998E-2"/>
        <n v="1.5800000000000002E-2"/>
        <n v="3.1699999999999999E-2"/>
        <n v="9.1000000000000004E-3"/>
        <n v="1.6899999999999998E-2"/>
        <n v="1.14E-2"/>
        <n v="2.3699999999999999E-2"/>
        <n v="4.53E-2"/>
        <n v="3.1199999999999999E-2"/>
        <n v="2.75E-2"/>
        <n v="1.9199999999999998E-2"/>
        <n v="1.4500000000000001E-2"/>
        <n v="3.8600000000000002E-2"/>
        <n v="7.4000000000000003E-3"/>
        <n v="2.3300000000000001E-2"/>
        <n v="2.5399999999999999E-2"/>
        <n v="2.76E-2"/>
        <n v="1.46E-2"/>
        <n v="1.41E-2"/>
        <n v="2.4400000000000002E-2"/>
        <n v="9.9000000000000008E-3"/>
        <n v="1.43E-2"/>
        <n v="1.6E-2"/>
        <n v="1.0999999999999999E-2"/>
        <n v="1.38E-2"/>
        <n v="1.2699999999999999E-2"/>
        <n v="1.29E-2"/>
        <n v="1.7299999999999999E-2"/>
        <n v="2.7099999999999999E-2"/>
        <n v="1.35E-2"/>
        <n v="1.6199999999999999E-2"/>
        <n v="7.6999999999999999E-2"/>
        <n v="1.2800000000000001E-2"/>
        <n v="3.5799999999999998E-2"/>
        <n v="6.0900000000000003E-2"/>
        <n v="1.3100000000000001E-2"/>
        <n v="4.3700000000000003E-2"/>
        <n v="3.5999999999999997E-2"/>
        <n v="4.7600000000000003E-2"/>
        <n v="2.9700000000000001E-2"/>
        <n v="4.5999999999999999E-2"/>
        <n v="5.0299999999999997E-2"/>
        <n v="1.9800000000000002E-2"/>
        <n v="2.0899999999999998E-2"/>
        <n v="1.4E-2"/>
        <n v="1.9699999999999999E-2"/>
        <n v="1.09E-2"/>
        <n v="1.9E-2"/>
        <n v="3.3799999999999997E-2"/>
        <n v="1.06E-2"/>
        <n v="3.27E-2"/>
        <n v="2.1600000000000001E-2"/>
        <n v="1.8499999999999999E-2"/>
        <n v="1.5699999999999999E-2"/>
        <n v="4.4299999999999999E-2"/>
        <n v="6.1800000000000001E-2"/>
        <n v="3.3599999999999998E-2"/>
        <n v="1.77E-2"/>
        <n v="3.2800000000000003E-2"/>
        <n v="1.37E-2"/>
        <n v="2.1999999999999999E-2"/>
        <n v="7.85E-2"/>
        <n v="1.9400000000000001E-2"/>
        <n v="4.2700000000000002E-2"/>
        <n v="2.1399999999999999E-2"/>
        <n v="1.7100000000000001E-2"/>
        <n v="2.7799999999999998E-2"/>
        <n v="2.8799999999999999E-2"/>
        <n v="1.66E-2"/>
        <n v="6.7799999999999999E-2"/>
        <n v="1.72E-2"/>
        <n v="0.11119999999999999"/>
        <n v="9.5500000000000002E-2"/>
        <n v="1.4800000000000001E-2"/>
        <n v="2.0799999999999999E-2"/>
        <n v="7.4999999999999997E-3"/>
        <n v="3.2199999999999999E-2"/>
        <n v="3.6700000000000003E-2"/>
        <n v="3.32E-2"/>
        <n v="2.6700000000000002E-2"/>
        <n v="3.6600000000000001E-2"/>
        <n v="2.81E-2"/>
        <n v="1.7600000000000001E-2"/>
        <n v="1.55E-2"/>
        <n v="1.34E-2"/>
        <n v="7.1400000000000005E-2"/>
        <n v="1.3299999999999999E-2"/>
        <n v="0.2001"/>
        <n v="2.5700000000000001E-2"/>
        <n v="2.0400000000000001E-2"/>
        <n v="2.69E-2"/>
        <n v="3.49E-2"/>
        <n v="2.6599999999999999E-2"/>
        <n v="6.2100000000000002E-2"/>
        <n v="7.2599999999999998E-2"/>
        <n v="1.8200000000000001E-2"/>
        <n v="0.03"/>
        <n v="2.3199999999999998E-2"/>
        <n v="3.1600000000000003E-2"/>
        <n v="2.93E-2"/>
        <n v="2.58E-2"/>
        <n v="2.24E-2"/>
        <n v="3.9E-2"/>
        <n v="3.4299999999999997E-2"/>
        <n v="9.01E-2"/>
        <n v="3.9100000000000003E-2"/>
        <n v="2.1100000000000001E-2"/>
        <n v="2.23E-2"/>
        <n v="5.04E-2"/>
        <n v="2.9000000000000001E-2"/>
        <n v="5.96E-2"/>
        <n v="0.1011"/>
        <n v="4.1000000000000002E-2"/>
        <n v="9.8900000000000002E-2"/>
        <n v="1.67E-2"/>
        <n v="1.5900000000000001E-2"/>
        <n v="2.29E-2"/>
        <n v="5.3400000000000003E-2"/>
        <n v="1.78E-2"/>
        <n v="1.47E-2"/>
        <n v="2.3900000000000001E-2"/>
        <n v="4.65E-2"/>
        <n v="6.6699999999999995E-2"/>
        <n v="5.3699999999999998E-2"/>
        <n v="2.92E-2"/>
        <n v="7.5999999999999998E-2"/>
        <n v="0.27160000000000001"/>
        <n v="8.8999999999999996E-2"/>
        <n v="4.2500000000000003E-2"/>
        <n v="3.0099999999999998E-2"/>
        <n v="2.5000000000000001E-2"/>
        <n v="6.5799999999999997E-2"/>
        <n v="3.4000000000000002E-2"/>
        <n v="2.1299999999999999E-2"/>
        <n v="5.1200000000000002E-2"/>
        <n v="6.25E-2"/>
        <n v="5.8099999999999999E-2"/>
        <n v="3.1800000000000002E-2"/>
        <n v="2.8000000000000001E-2"/>
        <n v="4.9500000000000002E-2"/>
        <n v="3.8699999999999998E-2"/>
        <n v="5.9400000000000001E-2"/>
        <n v="4.82E-2"/>
        <n v="7.8600000000000003E-2"/>
        <n v="5.1499999999999997E-2"/>
        <n v="5.4100000000000002E-2"/>
        <n v="0.1618"/>
        <n v="7.9699999999999993E-2"/>
        <n v="3.1300000000000001E-2"/>
        <n v="4.1700000000000001E-2"/>
        <n v="7.6499999999999999E-2"/>
        <n v="0.14349999999999999"/>
        <n v="6.9199999999999998E-2"/>
        <n v="6.4399999999999999E-2"/>
        <n v="8.4599999999999995E-2"/>
        <n v="0.1401"/>
        <n v="2.8500000000000001E-2"/>
        <n v="0.24099999999999999"/>
        <n v="0.15229999999999999"/>
        <n v="4.7300000000000002E-2"/>
        <n v="5.21E-2"/>
        <n v="6.7599999999999993E-2"/>
        <n v="0.1313"/>
        <n v="2.6100000000000002E-2"/>
        <n v="0.1293"/>
        <n v="0.16830000000000001"/>
        <n v="9.4700000000000006E-2"/>
        <n v="0.1152"/>
        <n v="4.87E-2"/>
        <n v="8.4500000000000006E-2"/>
        <n v="0.19570000000000001"/>
        <n v="4.8500000000000001E-2"/>
        <n v="0.10829999999999999"/>
        <n v="2.9899999999999999E-2"/>
        <n v="3.7499999999999999E-2"/>
        <n v="2.18E-2"/>
        <n v="3.6400000000000002E-2"/>
        <n v="0.10100000000000001"/>
        <n v="0.1144"/>
        <n v="2.86E-2"/>
        <n v="6.2E-2"/>
        <n v="6.8500000000000005E-2"/>
        <n v="0.18110000000000001"/>
        <n v="9.5000000000000001E-2"/>
        <n v="4.7399999999999998E-2"/>
        <n v="0.1192"/>
        <n v="0.16120000000000001"/>
        <n v="4.24E-2"/>
        <n v="0.1069"/>
        <n v="0.1022"/>
        <n v="7.0300000000000001E-2"/>
        <n v="0.1048"/>
        <n v="4.1399999999999999E-2"/>
        <n v="0.1333"/>
        <n v="9.35E-2"/>
        <n v="7.4899999999999994E-2"/>
        <n v="8.4199999999999997E-2"/>
        <n v="5.8400000000000001E-2"/>
        <n v="0.3503"/>
        <n v="7.6100000000000001E-2"/>
        <n v="0.15529999999999999"/>
        <n v="0.1187"/>
        <n v="5.7099999999999998E-2"/>
        <n v="4.58E-2"/>
        <n v="0.13"/>
        <n v="0.36520000000000002"/>
        <n v="9.9199999999999997E-2"/>
        <n v="0.1028"/>
        <n v="0.53610000000000002"/>
        <n v="0.25530000000000003"/>
        <n v="0.16"/>
        <n v="0.26050000000000001"/>
        <n v="0.12640000000000001"/>
        <n v="0.19520000000000001"/>
        <n v="7.0900000000000005E-2"/>
        <n v="7.1999999999999995E-2"/>
        <n v="6.6000000000000003E-2"/>
        <n v="9.2899999999999996E-2"/>
        <n v="0.1245"/>
        <n v="0.24979999999999999"/>
        <n v="0.36799999999999999"/>
        <n v="9.6799999999999997E-2"/>
        <n v="0.12920000000000001"/>
        <n v="6.8699999999999997E-2"/>
        <n v="0.13089999999999999"/>
      </sharedItems>
      <fieldGroup base="3">
        <rangePr autoStart="0" startNum="0" endNum="0.53610000000000002" groupInterval="0.05"/>
        <groupItems count="13">
          <s v="&lt;0"/>
          <s v="0-0.05"/>
          <s v="0.05-0.1"/>
          <s v="0.1-0.15"/>
          <s v="0.15-0.2"/>
          <s v="0.2-0.25"/>
          <s v="0.25-0.3"/>
          <s v="0.3-0.35"/>
          <s v="0.35-0.4"/>
          <s v="0.4-0.45"/>
          <s v="0.45-0.5"/>
          <s v="0.5-0.55"/>
          <s v="&gt;0.55"/>
        </groupItems>
      </fieldGroup>
    </cacheField>
    <cacheField name="WeekChange" numFmtId="0">
      <sharedItems containsMixedTypes="1" containsNumber="1" minValue="0" maxValue="2.1484000000000001"/>
    </cacheField>
    <cacheField name="MonthChange" numFmtId="0">
      <sharedItems containsMixedTypes="1" containsNumber="1" minValue="0" maxValue="2.0806"/>
    </cacheField>
    <cacheField name="WeeklyPerf" numFmtId="0">
      <sharedItems containsMixedTypes="1" containsNumber="1" minValue="0" maxValue="2.0973000000000002"/>
    </cacheField>
    <cacheField name="MonthlyPerf" numFmtId="0">
      <sharedItems containsMixedTypes="1" containsNumber="1" minValue="0" maxValue="2.3509000000000002"/>
    </cacheField>
    <cacheField name="YearBeta" numFmtId="2">
      <sharedItems containsMixedTypes="1" containsNumber="1" minValue="0.03" maxValue="10.02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9">
  <r>
    <x v="0"/>
    <x v="0"/>
    <x v="0"/>
    <x v="0"/>
    <s v="−0.47%"/>
    <n v="0.1547"/>
    <s v="−1.95%"/>
    <n v="0.216"/>
    <n v="2.1"/>
  </r>
  <r>
    <x v="1"/>
    <x v="1"/>
    <x v="1"/>
    <x v="1"/>
    <n v="1.37E-2"/>
    <n v="8.7599999999999997E-2"/>
    <s v="−0.65%"/>
    <n v="0.19040000000000001"/>
    <n v="1.68"/>
  </r>
  <r>
    <x v="2"/>
    <x v="2"/>
    <x v="2"/>
    <x v="2"/>
    <s v="−2.59%"/>
    <n v="8.6800000000000002E-2"/>
    <s v="−5.48%"/>
    <n v="8.5199999999999998E-2"/>
    <n v="1.91"/>
  </r>
  <r>
    <x v="3"/>
    <x v="3"/>
    <x v="3"/>
    <x v="3"/>
    <n v="2.5000000000000001E-3"/>
    <n v="2.2700000000000001E-2"/>
    <s v="−0.15%"/>
    <n v="3.6499999999999998E-2"/>
    <n v="1.22"/>
  </r>
  <r>
    <x v="4"/>
    <x v="4"/>
    <x v="4"/>
    <x v="4"/>
    <n v="1.89E-2"/>
    <n v="8.14E-2"/>
    <n v="1.2E-2"/>
    <n v="6.8000000000000005E-2"/>
    <n v="0.98"/>
  </r>
  <r>
    <x v="5"/>
    <x v="5"/>
    <x v="5"/>
    <x v="5"/>
    <s v="−1.19%"/>
    <n v="7.7700000000000005E-2"/>
    <n v="6.1999999999999998E-3"/>
    <n v="0.12790000000000001"/>
    <n v="1.47"/>
  </r>
  <r>
    <x v="6"/>
    <x v="6"/>
    <x v="6"/>
    <x v="6"/>
    <s v="−0.14%"/>
    <n v="0.25650000000000001"/>
    <s v="−6.87%"/>
    <n v="0.38790000000000002"/>
    <n v="1.88"/>
  </r>
  <r>
    <x v="7"/>
    <x v="7"/>
    <x v="7"/>
    <x v="7"/>
    <n v="3.8800000000000001E-2"/>
    <n v="0.1875"/>
    <n v="5.0500000000000003E-2"/>
    <n v="0.2162"/>
    <n v="1.17"/>
  </r>
  <r>
    <x v="8"/>
    <x v="8"/>
    <x v="8"/>
    <x v="8"/>
    <s v="−0.69%"/>
    <n v="3.1399999999999997E-2"/>
    <n v="8.0999999999999996E-3"/>
    <n v="1.8499999999999999E-2"/>
    <n v="0.89"/>
  </r>
  <r>
    <x v="9"/>
    <x v="9"/>
    <x v="9"/>
    <x v="9"/>
    <n v="9.9000000000000008E-3"/>
    <s v="−5.02%"/>
    <s v="−2.01%"/>
    <s v="−0.30%"/>
    <n v="1.81"/>
  </r>
  <r>
    <x v="10"/>
    <x v="10"/>
    <x v="10"/>
    <x v="10"/>
    <n v="2.5899999999999999E-2"/>
    <n v="2.4400000000000002E-2"/>
    <s v="−0.52%"/>
    <n v="4.5199999999999997E-2"/>
    <n v="1.1100000000000001"/>
  </r>
  <r>
    <x v="11"/>
    <x v="11"/>
    <x v="11"/>
    <x v="11"/>
    <n v="1.38E-2"/>
    <n v="6.7699999999999996E-2"/>
    <n v="2.35E-2"/>
    <n v="9.1899999999999996E-2"/>
    <n v="1.18"/>
  </r>
  <r>
    <x v="12"/>
    <x v="12"/>
    <x v="12"/>
    <x v="12"/>
    <n v="3.1399999999999997E-2"/>
    <n v="0.1118"/>
    <n v="1.7399999999999999E-2"/>
    <n v="0.25190000000000001"/>
    <n v="1.58"/>
  </r>
  <r>
    <x v="13"/>
    <x v="13"/>
    <x v="13"/>
    <x v="13"/>
    <s v="−1.27%"/>
    <n v="7.4000000000000003E-3"/>
    <s v="−1.09%"/>
    <s v="−0.01%"/>
    <n v="0.28000000000000003"/>
  </r>
  <r>
    <x v="14"/>
    <x v="14"/>
    <x v="14"/>
    <x v="14"/>
    <n v="4.3400000000000001E-2"/>
    <n v="6.1999999999999998E-3"/>
    <n v="1.43E-2"/>
    <n v="2.12E-2"/>
    <n v="1.1499999999999999"/>
  </r>
  <r>
    <x v="15"/>
    <x v="15"/>
    <x v="15"/>
    <x v="15"/>
    <s v="−1.52%"/>
    <n v="5.0900000000000001E-2"/>
    <s v="−0.38%"/>
    <n v="5.3499999999999999E-2"/>
    <n v="0.16"/>
  </r>
  <r>
    <x v="16"/>
    <x v="16"/>
    <x v="16"/>
    <x v="16"/>
    <s v="−0.08%"/>
    <n v="5.7599999999999998E-2"/>
    <n v="7.3000000000000001E-3"/>
    <n v="6.6100000000000006E-2"/>
    <n v="0.51"/>
  </r>
  <r>
    <x v="17"/>
    <x v="17"/>
    <x v="17"/>
    <x v="17"/>
    <n v="2.3599999999999999E-2"/>
    <n v="2.8500000000000001E-2"/>
    <n v="1.47E-2"/>
    <s v="−0.24%"/>
    <n v="0.76"/>
  </r>
  <r>
    <x v="18"/>
    <x v="18"/>
    <x v="18"/>
    <x v="18"/>
    <n v="1.03E-2"/>
    <n v="5.2600000000000001E-2"/>
    <n v="1.17E-2"/>
    <n v="3.2099999999999997E-2"/>
    <n v="0.48"/>
  </r>
  <r>
    <x v="19"/>
    <x v="19"/>
    <x v="19"/>
    <x v="19"/>
    <n v="5.8500000000000003E-2"/>
    <n v="8.0500000000000002E-2"/>
    <n v="3.9699999999999999E-2"/>
    <n v="0.1014"/>
    <n v="1.69"/>
  </r>
  <r>
    <x v="20"/>
    <x v="20"/>
    <x v="20"/>
    <x v="20"/>
    <s v="−0.19%"/>
    <n v="2.12E-2"/>
    <s v="−3.02%"/>
    <n v="1.8200000000000001E-2"/>
    <n v="0.88"/>
  </r>
  <r>
    <x v="21"/>
    <x v="21"/>
    <x v="21"/>
    <x v="8"/>
    <n v="2.6100000000000002E-2"/>
    <s v="−0.71%"/>
    <n v="4.02E-2"/>
    <n v="7.6E-3"/>
    <n v="0.6"/>
  </r>
  <r>
    <x v="22"/>
    <x v="22"/>
    <x v="22"/>
    <x v="21"/>
    <s v="−2.51%"/>
    <s v="−3.95%"/>
    <s v="−3.10%"/>
    <s v="−4.48%"/>
    <n v="0.23"/>
  </r>
  <r>
    <x v="23"/>
    <x v="23"/>
    <x v="23"/>
    <x v="22"/>
    <n v="4.8999999999999998E-3"/>
    <n v="1.18E-2"/>
    <n v="8.0000000000000004E-4"/>
    <s v="−5.59%"/>
    <n v="1.31"/>
  </r>
  <r>
    <x v="24"/>
    <x v="24"/>
    <x v="24"/>
    <x v="23"/>
    <s v="−0.22%"/>
    <n v="7.0199999999999999E-2"/>
    <n v="2.7099999999999999E-2"/>
    <n v="0.112"/>
    <n v="1.52"/>
  </r>
  <r>
    <x v="25"/>
    <x v="25"/>
    <x v="25"/>
    <x v="24"/>
    <n v="2.3300000000000001E-2"/>
    <n v="0.16270000000000001"/>
    <n v="2.0299999999999999E-2"/>
    <n v="0.21340000000000001"/>
    <n v="2.0099999999999998"/>
  </r>
  <r>
    <x v="26"/>
    <x v="26"/>
    <x v="26"/>
    <x v="25"/>
    <s v="−1.58%"/>
    <s v="−1.86%"/>
    <s v="−1.75%"/>
    <s v="−2.41%"/>
    <n v="1.3"/>
  </r>
  <r>
    <x v="27"/>
    <x v="27"/>
    <x v="27"/>
    <x v="26"/>
    <n v="3.6200000000000003E-2"/>
    <n v="3.6400000000000002E-2"/>
    <s v="−0.90%"/>
    <n v="0.1201"/>
    <n v="1.45"/>
  </r>
  <r>
    <x v="28"/>
    <x v="28"/>
    <x v="28"/>
    <x v="27"/>
    <s v="−1.78%"/>
    <n v="0.1"/>
    <s v="−4.44%"/>
    <n v="0.1167"/>
    <n v="1.23"/>
  </r>
  <r>
    <x v="29"/>
    <x v="29"/>
    <x v="29"/>
    <x v="28"/>
    <n v="3.2000000000000001E-2"/>
    <n v="7.3800000000000004E-2"/>
    <n v="3.5700000000000003E-2"/>
    <n v="5.6399999999999999E-2"/>
    <n v="1.3"/>
  </r>
  <r>
    <x v="30"/>
    <x v="30"/>
    <x v="30"/>
    <x v="27"/>
    <s v="−1.88%"/>
    <n v="1.84E-2"/>
    <n v="2.12E-2"/>
    <n v="3.8999999999999998E-3"/>
    <n v="0.06"/>
  </r>
  <r>
    <x v="31"/>
    <x v="31"/>
    <x v="31"/>
    <x v="29"/>
    <n v="1.5E-3"/>
    <s v="−6.80%"/>
    <s v="−7.02%"/>
    <s v="−10.04%"/>
    <n v="1.81"/>
  </r>
  <r>
    <x v="32"/>
    <x v="32"/>
    <x v="32"/>
    <x v="30"/>
    <s v="−0.41%"/>
    <n v="5.5E-2"/>
    <n v="9.2999999999999992E-3"/>
    <n v="5.3499999999999999E-2"/>
    <n v="0.69"/>
  </r>
  <r>
    <x v="33"/>
    <x v="33"/>
    <x v="33"/>
    <x v="31"/>
    <n v="3.15E-2"/>
    <n v="5.4399999999999997E-2"/>
    <n v="3.2899999999999999E-2"/>
    <n v="5.3699999999999998E-2"/>
    <n v="1.18"/>
  </r>
  <r>
    <x v="34"/>
    <x v="34"/>
    <x v="34"/>
    <x v="32"/>
    <n v="2.93E-2"/>
    <n v="3.15E-2"/>
    <n v="2.8299999999999999E-2"/>
    <s v="−1.00%"/>
    <n v="0.77"/>
  </r>
  <r>
    <x v="35"/>
    <x v="35"/>
    <x v="35"/>
    <x v="33"/>
    <n v="2.0400000000000001E-2"/>
    <n v="3.2300000000000002E-2"/>
    <n v="7.0000000000000001E-3"/>
    <s v="−0.16%"/>
    <n v="0.66"/>
  </r>
  <r>
    <x v="36"/>
    <x v="36"/>
    <x v="36"/>
    <x v="34"/>
    <n v="2.7000000000000001E-3"/>
    <n v="9.9000000000000008E-3"/>
    <s v="−1.98%"/>
    <s v="−0.02%"/>
    <n v="0.72"/>
  </r>
  <r>
    <x v="37"/>
    <x v="37"/>
    <x v="37"/>
    <x v="35"/>
    <s v="−0.10%"/>
    <n v="6.88E-2"/>
    <n v="1.26E-2"/>
    <n v="4.9099999999999998E-2"/>
    <n v="0.74"/>
  </r>
  <r>
    <x v="38"/>
    <x v="38"/>
    <x v="38"/>
    <x v="36"/>
    <n v="4.2200000000000001E-2"/>
    <n v="9.0999999999999998E-2"/>
    <n v="2.75E-2"/>
    <n v="0.10059999999999999"/>
    <n v="1.8"/>
  </r>
  <r>
    <x v="39"/>
    <x v="39"/>
    <x v="39"/>
    <x v="37"/>
    <n v="8.3000000000000001E-3"/>
    <n v="9.9000000000000008E-3"/>
    <s v="−0.80%"/>
    <n v="3.8E-3"/>
    <n v="1.32"/>
  </r>
  <r>
    <x v="40"/>
    <x v="40"/>
    <x v="40"/>
    <x v="38"/>
    <s v="−1.28%"/>
    <n v="4.3499999999999997E-2"/>
    <s v="−2.85%"/>
    <n v="4.3400000000000001E-2"/>
    <n v="0.73"/>
  </r>
  <r>
    <x v="41"/>
    <x v="41"/>
    <x v="41"/>
    <x v="39"/>
    <n v="4.7699999999999999E-2"/>
    <n v="0.1411"/>
    <n v="2.69E-2"/>
    <n v="0.14510000000000001"/>
    <n v="1.41"/>
  </r>
  <r>
    <x v="42"/>
    <x v="42"/>
    <x v="42"/>
    <x v="40"/>
    <n v="4.8999999999999998E-3"/>
    <n v="2.7300000000000001E-2"/>
    <s v="−2.97%"/>
    <n v="1.23E-2"/>
    <n v="0.97"/>
  </r>
  <r>
    <x v="43"/>
    <x v="43"/>
    <x v="43"/>
    <x v="41"/>
    <n v="2.0799999999999999E-2"/>
    <n v="4.24E-2"/>
    <n v="2.3900000000000001E-2"/>
    <n v="8.0799999999999997E-2"/>
    <n v="0.38"/>
  </r>
  <r>
    <x v="44"/>
    <x v="44"/>
    <x v="44"/>
    <x v="42"/>
    <n v="7.3000000000000001E-3"/>
    <n v="7.6399999999999996E-2"/>
    <n v="2.4899999999999999E-2"/>
    <n v="8.8499999999999995E-2"/>
    <n v="0.8"/>
  </r>
  <r>
    <x v="45"/>
    <x v="45"/>
    <x v="45"/>
    <x v="43"/>
    <s v="−1.67%"/>
    <s v="−0.99%"/>
    <s v="−1.92%"/>
    <s v="−2.33%"/>
    <n v="0.54"/>
  </r>
  <r>
    <x v="46"/>
    <x v="46"/>
    <x v="46"/>
    <x v="44"/>
    <s v="−1.56%"/>
    <n v="2.06E-2"/>
    <s v="−2.22%"/>
    <s v="−0.38%"/>
    <n v="0.33"/>
  </r>
  <r>
    <x v="47"/>
    <x v="47"/>
    <x v="47"/>
    <x v="45"/>
    <n v="3.8300000000000001E-2"/>
    <n v="8.7800000000000003E-2"/>
    <n v="3.73E-2"/>
    <n v="0.10349999999999999"/>
    <n v="1.5"/>
  </r>
  <r>
    <x v="48"/>
    <x v="48"/>
    <x v="48"/>
    <x v="46"/>
    <s v="−0.98%"/>
    <s v="−0.03%"/>
    <s v="−1.36%"/>
    <n v="4.1999999999999997E-3"/>
    <n v="0.69"/>
  </r>
  <r>
    <x v="49"/>
    <x v="49"/>
    <x v="49"/>
    <x v="47"/>
    <n v="1.6000000000000001E-3"/>
    <s v="−0.26%"/>
    <s v="−0.04%"/>
    <s v="−2.39%"/>
    <n v="0.5"/>
  </r>
  <r>
    <x v="50"/>
    <x v="50"/>
    <x v="50"/>
    <x v="48"/>
    <n v="0.151"/>
    <n v="0.13750000000000001"/>
    <n v="0.20119999999999999"/>
    <n v="0.25430000000000003"/>
    <n v="2.98"/>
  </r>
  <r>
    <x v="51"/>
    <x v="51"/>
    <x v="51"/>
    <x v="49"/>
    <s v="−2.10%"/>
    <n v="1.6000000000000001E-3"/>
    <s v="−0.22%"/>
    <n v="1.2999999999999999E-3"/>
    <n v="0.28000000000000003"/>
  </r>
  <r>
    <x v="52"/>
    <x v="52"/>
    <x v="52"/>
    <x v="50"/>
    <n v="2.7400000000000001E-2"/>
    <s v="−1.66%"/>
    <n v="4.7999999999999996E-3"/>
    <s v="−4.02%"/>
    <n v="1.03"/>
  </r>
  <r>
    <x v="53"/>
    <x v="53"/>
    <x v="53"/>
    <x v="51"/>
    <n v="4.8399999999999999E-2"/>
    <s v="−3.88%"/>
    <s v="−0.78%"/>
    <n v="0.151"/>
    <n v="2.92"/>
  </r>
  <r>
    <x v="54"/>
    <x v="54"/>
    <x v="54"/>
    <x v="52"/>
    <s v="−1.36%"/>
    <n v="6.5199999999999994E-2"/>
    <s v="−4.23%"/>
    <n v="0.10970000000000001"/>
    <n v="1.64"/>
  </r>
  <r>
    <x v="55"/>
    <x v="55"/>
    <x v="55"/>
    <x v="53"/>
    <n v="4.24E-2"/>
    <n v="0.1206"/>
    <s v="−3.93%"/>
    <n v="0.19980000000000001"/>
    <n v="2.21"/>
  </r>
  <r>
    <x v="56"/>
    <x v="56"/>
    <x v="56"/>
    <x v="54"/>
    <n v="3.04E-2"/>
    <n v="7.2499999999999995E-2"/>
    <s v="−2.91%"/>
    <n v="8.8599999999999998E-2"/>
    <n v="2.27"/>
  </r>
  <r>
    <x v="57"/>
    <x v="57"/>
    <x v="57"/>
    <x v="55"/>
    <n v="1.2999999999999999E-2"/>
    <n v="0.12989999999999999"/>
    <n v="7.1999999999999998E-3"/>
    <n v="0.11409999999999999"/>
    <n v="2.58"/>
  </r>
  <r>
    <x v="58"/>
    <x v="58"/>
    <x v="58"/>
    <x v="56"/>
    <s v="−1.46%"/>
    <s v="−0.54%"/>
    <s v="−2.76%"/>
    <s v="−0.65%"/>
    <n v="0.37"/>
  </r>
  <r>
    <x v="59"/>
    <x v="59"/>
    <x v="59"/>
    <x v="57"/>
    <n v="0.09"/>
    <n v="0.55010000000000003"/>
    <n v="0.1056"/>
    <n v="0.7883"/>
    <n v="3.68"/>
  </r>
  <r>
    <x v="60"/>
    <x v="60"/>
    <x v="60"/>
    <x v="22"/>
    <s v="−1.11%"/>
    <n v="1.44E-2"/>
    <s v="−1.29%"/>
    <n v="1.1999999999999999E-3"/>
    <n v="0.5"/>
  </r>
  <r>
    <x v="61"/>
    <x v="61"/>
    <x v="61"/>
    <x v="58"/>
    <n v="3.8899999999999997E-2"/>
    <n v="2.7E-2"/>
    <s v="−0.91%"/>
    <n v="2.3900000000000001E-2"/>
    <n v="1.86"/>
  </r>
  <r>
    <x v="62"/>
    <x v="62"/>
    <x v="62"/>
    <x v="59"/>
    <n v="2.4799999999999999E-2"/>
    <s v="−0.35%"/>
    <n v="7.4999999999999997E-3"/>
    <s v="−2.81%"/>
    <n v="0.66"/>
  </r>
  <r>
    <x v="63"/>
    <x v="63"/>
    <x v="63"/>
    <x v="60"/>
    <n v="6.93E-2"/>
    <n v="0.18609999999999999"/>
    <n v="7.3800000000000004E-2"/>
    <n v="0.185"/>
    <n v="1.37"/>
  </r>
  <r>
    <x v="64"/>
    <x v="64"/>
    <x v="64"/>
    <x v="61"/>
    <n v="4.9099999999999998E-2"/>
    <n v="5.8599999999999999E-2"/>
    <n v="3.6799999999999999E-2"/>
    <n v="2.8799999999999999E-2"/>
    <n v="1.04"/>
  </r>
  <r>
    <x v="65"/>
    <x v="65"/>
    <x v="65"/>
    <x v="62"/>
    <n v="2.8899999999999999E-2"/>
    <n v="0.1074"/>
    <n v="7.1999999999999998E-3"/>
    <n v="4.1200000000000001E-2"/>
    <n v="0.89"/>
  </r>
  <r>
    <x v="66"/>
    <x v="66"/>
    <x v="66"/>
    <x v="63"/>
    <s v="−0.96%"/>
    <n v="3.8300000000000001E-2"/>
    <s v="−0.91%"/>
    <n v="3.7699999999999997E-2"/>
    <n v="0.81"/>
  </r>
  <r>
    <x v="67"/>
    <x v="67"/>
    <x v="67"/>
    <x v="64"/>
    <n v="6.6E-3"/>
    <s v="−2.69%"/>
    <s v="−2.14%"/>
    <s v="−0.78%"/>
    <n v="1.65"/>
  </r>
  <r>
    <x v="68"/>
    <x v="68"/>
    <x v="68"/>
    <x v="59"/>
    <n v="1.77E-2"/>
    <n v="0.15529999999999999"/>
    <n v="3.7900000000000003E-2"/>
    <n v="7.5200000000000003E-2"/>
    <n v="1.45"/>
  </r>
  <r>
    <x v="69"/>
    <x v="69"/>
    <x v="69"/>
    <x v="65"/>
    <n v="3.27E-2"/>
    <s v="−8.30%"/>
    <n v="2.7000000000000001E-3"/>
    <s v="−3.07%"/>
    <n v="2.36"/>
  </r>
  <r>
    <x v="70"/>
    <x v="70"/>
    <x v="70"/>
    <x v="22"/>
    <n v="1.0699999999999999E-2"/>
    <n v="2.4199999999999999E-2"/>
    <s v="−0.99%"/>
    <n v="3.5799999999999998E-2"/>
    <n v="0.91"/>
  </r>
  <r>
    <x v="71"/>
    <x v="71"/>
    <x v="71"/>
    <x v="66"/>
    <n v="2.64E-2"/>
    <n v="0.2059"/>
    <n v="4.0899999999999999E-2"/>
    <n v="0.18790000000000001"/>
    <n v="1.35"/>
  </r>
  <r>
    <x v="72"/>
    <x v="72"/>
    <x v="72"/>
    <x v="67"/>
    <n v="4.2900000000000001E-2"/>
    <n v="0.13450000000000001"/>
    <n v="3.0499999999999999E-2"/>
    <n v="6.3200000000000006E-2"/>
    <n v="1.04"/>
  </r>
  <r>
    <x v="73"/>
    <x v="73"/>
    <x v="73"/>
    <x v="68"/>
    <n v="1.15E-2"/>
    <n v="3.4500000000000003E-2"/>
    <s v="−1.06%"/>
    <s v="−1.57%"/>
    <n v="1.1499999999999999"/>
  </r>
  <r>
    <x v="74"/>
    <x v="74"/>
    <x v="74"/>
    <x v="69"/>
    <n v="2.23E-2"/>
    <n v="4.0599999999999997E-2"/>
    <n v="3.0800000000000001E-2"/>
    <s v="−2.74%"/>
    <n v="0.48"/>
  </r>
  <r>
    <x v="75"/>
    <x v="75"/>
    <x v="75"/>
    <x v="17"/>
    <n v="8.9800000000000005E-2"/>
    <n v="0.28570000000000001"/>
    <n v="9.9299999999999999E-2"/>
    <n v="0.30659999999999998"/>
    <n v="1.27"/>
  </r>
  <r>
    <x v="76"/>
    <x v="76"/>
    <x v="76"/>
    <x v="49"/>
    <n v="4.5999999999999999E-3"/>
    <n v="4.3099999999999999E-2"/>
    <s v="−2.67%"/>
    <n v="3.9800000000000002E-2"/>
    <n v="1.1299999999999999"/>
  </r>
  <r>
    <x v="77"/>
    <x v="77"/>
    <x v="77"/>
    <x v="70"/>
    <n v="2.4899999999999999E-2"/>
    <n v="1.8E-3"/>
    <n v="2.3699999999999999E-2"/>
    <s v="−0.58%"/>
    <n v="0.31"/>
  </r>
  <r>
    <x v="78"/>
    <x v="78"/>
    <x v="78"/>
    <x v="71"/>
    <n v="2.0799999999999999E-2"/>
    <n v="0.16639999999999999"/>
    <n v="4.0899999999999999E-2"/>
    <n v="0.15690000000000001"/>
    <n v="1.27"/>
  </r>
  <r>
    <x v="79"/>
    <x v="79"/>
    <x v="79"/>
    <x v="72"/>
    <n v="0.17749999999999999"/>
    <n v="0.48449999999999999"/>
    <n v="0.10630000000000001"/>
    <n v="0.62980000000000003"/>
    <n v="3.3"/>
  </r>
  <r>
    <x v="80"/>
    <x v="80"/>
    <x v="80"/>
    <x v="73"/>
    <n v="1.72E-2"/>
    <n v="0.21590000000000001"/>
    <n v="1.9199999999999998E-2"/>
    <n v="0.247"/>
    <n v="2.12"/>
  </r>
  <r>
    <x v="81"/>
    <x v="81"/>
    <x v="81"/>
    <x v="74"/>
    <n v="3.9399999999999998E-2"/>
    <n v="5.8999999999999997E-2"/>
    <n v="2.64E-2"/>
    <n v="6.1100000000000002E-2"/>
    <n v="0.85"/>
  </r>
  <r>
    <x v="82"/>
    <x v="82"/>
    <x v="82"/>
    <x v="75"/>
    <s v="−0.96%"/>
    <n v="1.55E-2"/>
    <s v="−4.14%"/>
    <n v="0"/>
    <n v="0.83"/>
  </r>
  <r>
    <x v="83"/>
    <x v="83"/>
    <x v="83"/>
    <x v="76"/>
    <n v="2.0000000000000001E-4"/>
    <n v="2.0299999999999999E-2"/>
    <s v="−2.94%"/>
    <s v="−0.68%"/>
    <n v="0.93"/>
  </r>
  <r>
    <x v="84"/>
    <x v="84"/>
    <x v="84"/>
    <x v="77"/>
    <n v="5.4999999999999997E-3"/>
    <n v="1.11E-2"/>
    <s v="−1.11%"/>
    <n v="1.5699999999999999E-2"/>
    <n v="0.69"/>
  </r>
  <r>
    <x v="85"/>
    <x v="85"/>
    <x v="85"/>
    <x v="78"/>
    <n v="5.7299999999999997E-2"/>
    <s v="−4.40%"/>
    <s v="−3.80%"/>
    <n v="1.5699999999999999E-2"/>
    <n v="2.0499999999999998"/>
  </r>
  <r>
    <x v="86"/>
    <x v="86"/>
    <x v="86"/>
    <x v="79"/>
    <n v="1.4500000000000001E-2"/>
    <n v="0.14319999999999999"/>
    <n v="5.3E-3"/>
    <n v="9.0499999999999997E-2"/>
    <n v="0.75"/>
  </r>
  <r>
    <x v="87"/>
    <x v="87"/>
    <x v="87"/>
    <x v="80"/>
    <n v="2.2200000000000001E-2"/>
    <n v="0.1421"/>
    <n v="6.4000000000000003E-3"/>
    <n v="0.12470000000000001"/>
    <n v="1.73"/>
  </r>
  <r>
    <x v="88"/>
    <x v="88"/>
    <x v="88"/>
    <x v="81"/>
    <n v="5.5599999999999997E-2"/>
    <n v="0.17829999999999999"/>
    <n v="2.3599999999999999E-2"/>
    <n v="0.17080000000000001"/>
    <n v="1.62"/>
  </r>
  <r>
    <x v="89"/>
    <x v="89"/>
    <x v="89"/>
    <x v="82"/>
    <n v="3.6900000000000002E-2"/>
    <n v="3.3399999999999999E-2"/>
    <n v="3.1399999999999997E-2"/>
    <n v="5.6800000000000003E-2"/>
    <n v="0.52"/>
  </r>
  <r>
    <x v="90"/>
    <x v="90"/>
    <x v="90"/>
    <x v="83"/>
    <n v="5.3900000000000003E-2"/>
    <n v="8.2000000000000003E-2"/>
    <n v="9.6299999999999997E-2"/>
    <n v="9.1999999999999998E-2"/>
    <n v="1.05"/>
  </r>
  <r>
    <x v="91"/>
    <x v="91"/>
    <x v="91"/>
    <x v="84"/>
    <n v="3.8899999999999997E-2"/>
    <n v="9.8599999999999993E-2"/>
    <s v="−0.08%"/>
    <n v="4.07E-2"/>
    <n v="1.0900000000000001"/>
  </r>
  <r>
    <x v="92"/>
    <x v="92"/>
    <x v="92"/>
    <x v="35"/>
    <s v="−5.25%"/>
    <s v="−4.55%"/>
    <s v="−7.42%"/>
    <s v="−4.60%"/>
    <n v="0.5"/>
  </r>
  <r>
    <x v="93"/>
    <x v="93"/>
    <x v="93"/>
    <x v="85"/>
    <n v="2.9999999999999997E-4"/>
    <n v="0.25559999999999999"/>
    <s v="−3.60%"/>
    <n v="0.3851"/>
    <n v="1.22"/>
  </r>
  <r>
    <x v="94"/>
    <x v="94"/>
    <x v="94"/>
    <x v="86"/>
    <n v="7.2700000000000001E-2"/>
    <n v="0.1197"/>
    <n v="4.8099999999999997E-2"/>
    <n v="0.2747"/>
    <n v="2.48"/>
  </r>
  <r>
    <x v="95"/>
    <x v="95"/>
    <x v="95"/>
    <x v="87"/>
    <n v="4.5400000000000003E-2"/>
    <n v="0.1875"/>
    <n v="2.93E-2"/>
    <n v="0.21260000000000001"/>
    <n v="0.94"/>
  </r>
  <r>
    <x v="96"/>
    <x v="96"/>
    <x v="96"/>
    <x v="88"/>
    <n v="6.2E-2"/>
    <s v="−11.37%"/>
    <s v="−18.97%"/>
    <n v="0.2334"/>
    <n v="3.4"/>
  </r>
  <r>
    <x v="97"/>
    <x v="97"/>
    <x v="97"/>
    <x v="60"/>
    <s v="−2.48%"/>
    <s v="−8.37%"/>
    <s v="−4.05%"/>
    <s v="−8.58%"/>
    <n v="0.21"/>
  </r>
  <r>
    <x v="98"/>
    <x v="98"/>
    <x v="98"/>
    <x v="89"/>
    <n v="0.15670000000000001"/>
    <n v="0.27900000000000003"/>
    <n v="4.4400000000000002E-2"/>
    <n v="0.47499999999999998"/>
    <n v="2.93"/>
  </r>
  <r>
    <x v="99"/>
    <x v="99"/>
    <x v="99"/>
    <x v="90"/>
    <n v="2.7199999999999998E-2"/>
    <n v="0.12889999999999999"/>
    <n v="8.9999999999999998E-4"/>
    <n v="0.1176"/>
    <n v="1.1399999999999999"/>
  </r>
  <r>
    <x v="100"/>
    <x v="100"/>
    <x v="100"/>
    <x v="91"/>
    <n v="3.5200000000000002E-2"/>
    <n v="9.3299999999999994E-2"/>
    <n v="3.5200000000000002E-2"/>
    <n v="0.1235"/>
    <n v="1.38"/>
  </r>
  <r>
    <x v="101"/>
    <x v="101"/>
    <x v="101"/>
    <x v="92"/>
    <n v="2.5999999999999999E-2"/>
    <n v="9.5200000000000007E-2"/>
    <n v="2.5000000000000001E-2"/>
    <n v="8.6400000000000005E-2"/>
    <n v="0.99"/>
  </r>
  <r>
    <x v="102"/>
    <x v="102"/>
    <x v="102"/>
    <x v="93"/>
    <n v="1.7299999999999999E-2"/>
    <n v="6.7699999999999996E-2"/>
    <s v="−3.85%"/>
    <n v="0.22339999999999999"/>
    <n v="1.34"/>
  </r>
  <r>
    <x v="103"/>
    <x v="103"/>
    <x v="103"/>
    <x v="94"/>
    <n v="1.9E-2"/>
    <n v="4.4699999999999997E-2"/>
    <s v="−1.28%"/>
    <s v="−0.98%"/>
    <n v="0.93"/>
  </r>
  <r>
    <x v="104"/>
    <x v="104"/>
    <x v="104"/>
    <x v="95"/>
    <n v="5.4100000000000002E-2"/>
    <n v="0.13650000000000001"/>
    <n v="4.1300000000000003E-2"/>
    <n v="6.3700000000000007E-2"/>
    <n v="1.1200000000000001"/>
  </r>
  <r>
    <x v="105"/>
    <x v="105"/>
    <x v="105"/>
    <x v="79"/>
    <n v="1.38E-2"/>
    <n v="8.09E-2"/>
    <s v="−3.98%"/>
    <n v="5.6899999999999999E-2"/>
    <n v="0.93"/>
  </r>
  <r>
    <x v="106"/>
    <x v="106"/>
    <x v="106"/>
    <x v="96"/>
    <n v="4.6699999999999998E-2"/>
    <n v="0.1172"/>
    <n v="4.8500000000000001E-2"/>
    <n v="9.8500000000000004E-2"/>
    <n v="0.75"/>
  </r>
  <r>
    <x v="107"/>
    <x v="107"/>
    <x v="107"/>
    <x v="97"/>
    <n v="7.46E-2"/>
    <n v="0.16500000000000001"/>
    <n v="8.2199999999999995E-2"/>
    <n v="0.18579999999999999"/>
    <n v="2.02"/>
  </r>
  <r>
    <x v="108"/>
    <x v="108"/>
    <x v="108"/>
    <x v="98"/>
    <n v="4.5699999999999998E-2"/>
    <n v="0.1424"/>
    <n v="5.28E-2"/>
    <n v="0.1138"/>
    <n v="1.07"/>
  </r>
  <r>
    <x v="109"/>
    <x v="109"/>
    <x v="109"/>
    <x v="99"/>
    <s v="−0.90%"/>
    <s v="−0.71%"/>
    <s v="−3.26%"/>
    <s v="−1.69%"/>
    <n v="0.49"/>
  </r>
  <r>
    <x v="110"/>
    <x v="110"/>
    <x v="110"/>
    <x v="100"/>
    <n v="1.5699999999999999E-2"/>
    <n v="0"/>
    <s v="−2.96%"/>
    <s v="−0.10%"/>
    <n v="1.19"/>
  </r>
  <r>
    <x v="111"/>
    <x v="111"/>
    <x v="111"/>
    <x v="101"/>
    <n v="1.11E-2"/>
    <n v="3.0300000000000001E-2"/>
    <s v="−0.17%"/>
    <s v="−3.42%"/>
    <n v="1.22"/>
  </r>
  <r>
    <x v="112"/>
    <x v="112"/>
    <x v="112"/>
    <x v="25"/>
    <s v="−7.39%"/>
    <s v="−4.25%"/>
    <s v="−10.02%"/>
    <s v="−2.38%"/>
    <n v="1.1000000000000001"/>
  </r>
  <r>
    <x v="113"/>
    <x v="113"/>
    <x v="113"/>
    <x v="102"/>
    <n v="7.2400000000000006E-2"/>
    <n v="0.1754"/>
    <n v="0.1202"/>
    <n v="0.18329999999999999"/>
    <n v="1.41"/>
  </r>
  <r>
    <x v="114"/>
    <x v="114"/>
    <x v="114"/>
    <x v="103"/>
    <n v="1.15E-2"/>
    <n v="1.01E-2"/>
    <s v="−2.47%"/>
    <s v="−0.46%"/>
    <n v="1.1599999999999999"/>
  </r>
  <r>
    <x v="115"/>
    <x v="115"/>
    <x v="115"/>
    <x v="104"/>
    <n v="0.30919999999999997"/>
    <n v="1.1695"/>
    <n v="0.1807"/>
    <n v="1.5739000000000001"/>
    <n v="5.83"/>
  </r>
  <r>
    <x v="116"/>
    <x v="116"/>
    <x v="116"/>
    <x v="98"/>
    <n v="1.84E-2"/>
    <s v="−0.73%"/>
    <s v="−2.45%"/>
    <s v="−4.71%"/>
    <n v="1.28"/>
  </r>
  <r>
    <x v="117"/>
    <x v="117"/>
    <x v="117"/>
    <x v="105"/>
    <n v="1.4800000000000001E-2"/>
    <n v="0.16070000000000001"/>
    <n v="3.0099999999999998E-2"/>
    <n v="0.18540000000000001"/>
    <n v="1.21"/>
  </r>
  <r>
    <x v="118"/>
    <x v="118"/>
    <x v="118"/>
    <x v="106"/>
    <n v="1.6199999999999999E-2"/>
    <n v="4.07E-2"/>
    <s v="−0.90%"/>
    <n v="2.69E-2"/>
    <n v="1.05"/>
  </r>
  <r>
    <x v="119"/>
    <x v="119"/>
    <x v="119"/>
    <x v="107"/>
    <n v="3.09E-2"/>
    <n v="8.4900000000000003E-2"/>
    <s v="−2.08%"/>
    <n v="5.11E-2"/>
    <n v="1.1100000000000001"/>
  </r>
  <r>
    <x v="120"/>
    <x v="120"/>
    <x v="120"/>
    <x v="0"/>
    <s v="−0.68%"/>
    <n v="0"/>
    <s v="−1.43%"/>
    <n v="8.0999999999999996E-3"/>
    <n v="0.67"/>
  </r>
  <r>
    <x v="121"/>
    <x v="121"/>
    <x v="121"/>
    <x v="108"/>
    <n v="7.4999999999999997E-3"/>
    <s v="−0.47%"/>
    <s v="−5.45%"/>
    <s v="−4.43%"/>
    <n v="1.17"/>
  </r>
  <r>
    <x v="122"/>
    <x v="121"/>
    <x v="122"/>
    <x v="109"/>
    <n v="2.52E-2"/>
    <n v="9.9400000000000002E-2"/>
    <n v="4.1000000000000002E-2"/>
    <n v="8.1799999999999998E-2"/>
    <n v="2.87"/>
  </r>
  <r>
    <x v="123"/>
    <x v="122"/>
    <x v="123"/>
    <x v="110"/>
    <n v="6.7500000000000004E-2"/>
    <n v="3.56E-2"/>
    <s v="−1.80%"/>
    <n v="0.1087"/>
    <n v="2.1"/>
  </r>
  <r>
    <x v="124"/>
    <x v="123"/>
    <x v="124"/>
    <x v="111"/>
    <n v="5.3999999999999999E-2"/>
    <n v="3.8699999999999998E-2"/>
    <n v="5.5999999999999999E-3"/>
    <n v="6.4299999999999996E-2"/>
    <n v="1.8"/>
  </r>
  <r>
    <x v="125"/>
    <x v="124"/>
    <x v="125"/>
    <x v="112"/>
    <n v="3.1600000000000003E-2"/>
    <n v="5.2499999999999998E-2"/>
    <s v="−0.37%"/>
    <s v="−1.53%"/>
    <n v="0.7"/>
  </r>
  <r>
    <x v="126"/>
    <x v="125"/>
    <x v="126"/>
    <x v="113"/>
    <n v="4.8000000000000001E-2"/>
    <n v="0.16869999999999999"/>
    <n v="4.9399999999999999E-2"/>
    <n v="0.1221"/>
    <n v="2.15"/>
  </r>
  <r>
    <x v="127"/>
    <x v="126"/>
    <x v="127"/>
    <x v="114"/>
    <n v="1.78E-2"/>
    <n v="5.0000000000000001E-3"/>
    <s v="−1.92%"/>
    <s v="−3.46%"/>
    <n v="0.69"/>
  </r>
  <r>
    <x v="128"/>
    <x v="127"/>
    <x v="128"/>
    <x v="115"/>
    <s v="−1.23%"/>
    <n v="0.20979999999999999"/>
    <n v="1.4800000000000001E-2"/>
    <n v="0.24729999999999999"/>
    <n v="2.66"/>
  </r>
  <r>
    <x v="129"/>
    <x v="128"/>
    <x v="129"/>
    <x v="116"/>
    <s v="−3.54%"/>
    <n v="0.28160000000000002"/>
    <s v="−4.23%"/>
    <n v="0.22070000000000001"/>
    <n v="0.98"/>
  </r>
  <r>
    <x v="130"/>
    <x v="129"/>
    <x v="130"/>
    <x v="117"/>
    <n v="5.2699999999999997E-2"/>
    <n v="0.23250000000000001"/>
    <n v="8.5000000000000006E-3"/>
    <n v="0.14099999999999999"/>
    <n v="1.92"/>
  </r>
  <r>
    <x v="131"/>
    <x v="130"/>
    <x v="131"/>
    <x v="118"/>
    <n v="1.78E-2"/>
    <n v="8.0999999999999996E-3"/>
    <s v="−1.80%"/>
    <s v="−5.14%"/>
    <n v="1.03"/>
  </r>
  <r>
    <x v="132"/>
    <x v="131"/>
    <x v="132"/>
    <x v="119"/>
    <n v="3.6200000000000003E-2"/>
    <n v="6.4399999999999999E-2"/>
    <n v="4.2999999999999997E-2"/>
    <n v="4.1500000000000002E-2"/>
    <n v="2"/>
  </r>
  <r>
    <x v="133"/>
    <x v="132"/>
    <x v="133"/>
    <x v="120"/>
    <n v="4.0500000000000001E-2"/>
    <n v="8.3799999999999999E-2"/>
    <n v="2.7400000000000001E-2"/>
    <s v="−1.95%"/>
    <n v="1.04"/>
  </r>
  <r>
    <x v="134"/>
    <x v="133"/>
    <x v="134"/>
    <x v="121"/>
    <n v="8.6099999999999996E-2"/>
    <n v="0.41889999999999999"/>
    <n v="9.5699999999999993E-2"/>
    <n v="0.4481"/>
    <n v="1.83"/>
  </r>
  <r>
    <x v="135"/>
    <x v="134"/>
    <x v="135"/>
    <x v="122"/>
    <s v="−1.13%"/>
    <n v="2.3300000000000001E-2"/>
    <s v="−3.40%"/>
    <n v="1.2500000000000001E-2"/>
    <n v="1.08"/>
  </r>
  <r>
    <x v="136"/>
    <x v="135"/>
    <x v="136"/>
    <x v="123"/>
    <s v="−0.81%"/>
    <s v="−2.16%"/>
    <s v="−1.91%"/>
    <s v="−5.15%"/>
    <n v="1.04"/>
  </r>
  <r>
    <x v="137"/>
    <x v="136"/>
    <x v="137"/>
    <x v="124"/>
    <n v="6.93E-2"/>
    <n v="0.26989999999999997"/>
    <n v="3.2399999999999998E-2"/>
    <n v="0.27489999999999998"/>
    <n v="2.33"/>
  </r>
  <r>
    <x v="138"/>
    <x v="137"/>
    <x v="138"/>
    <x v="125"/>
    <s v="−5.79%"/>
    <n v="0.38490000000000002"/>
    <s v="−0.05%"/>
    <n v="0.3659"/>
    <n v="0.31"/>
  </r>
  <r>
    <x v="139"/>
    <x v="138"/>
    <x v="139"/>
    <x v="126"/>
    <n v="3.0700000000000002E-2"/>
    <n v="9.1200000000000003E-2"/>
    <s v="−3.64%"/>
    <n v="7.3700000000000002E-2"/>
    <n v="1.89"/>
  </r>
  <r>
    <x v="140"/>
    <x v="139"/>
    <x v="140"/>
    <x v="127"/>
    <n v="7.1499999999999994E-2"/>
    <n v="4.5400000000000003E-2"/>
    <s v="−0.86%"/>
    <n v="0.10489999999999999"/>
    <n v="2.85"/>
  </r>
  <r>
    <x v="141"/>
    <x v="140"/>
    <x v="141"/>
    <x v="87"/>
    <n v="7.9299999999999995E-2"/>
    <n v="0.18740000000000001"/>
    <n v="0.08"/>
    <n v="0.21790000000000001"/>
    <n v="1.23"/>
  </r>
  <r>
    <x v="142"/>
    <x v="141"/>
    <x v="142"/>
    <x v="47"/>
    <n v="2.4799999999999999E-2"/>
    <n v="5.7999999999999996E-3"/>
    <s v="−2.74%"/>
    <s v="−0.40%"/>
    <n v="1.1000000000000001"/>
  </r>
  <r>
    <x v="143"/>
    <x v="142"/>
    <x v="143"/>
    <x v="128"/>
    <n v="9.4299999999999995E-2"/>
    <n v="0.53959999999999997"/>
    <n v="8.8800000000000004E-2"/>
    <n v="0.55069999999999997"/>
    <n v="2.34"/>
  </r>
  <r>
    <x v="144"/>
    <x v="143"/>
    <x v="144"/>
    <x v="129"/>
    <n v="3.61E-2"/>
    <n v="0.1026"/>
    <n v="3.5000000000000001E-3"/>
    <n v="0.1169"/>
    <n v="1.3"/>
  </r>
  <r>
    <x v="145"/>
    <x v="144"/>
    <x v="145"/>
    <x v="130"/>
    <n v="0.24660000000000001"/>
    <n v="0.2954"/>
    <n v="0.18390000000000001"/>
    <n v="0.39190000000000003"/>
    <n v="3.11"/>
  </r>
  <r>
    <x v="146"/>
    <x v="145"/>
    <x v="146"/>
    <x v="59"/>
    <n v="4.2299999999999997E-2"/>
    <n v="5.5899999999999998E-2"/>
    <n v="2.41E-2"/>
    <n v="4.7399999999999998E-2"/>
    <n v="0.64"/>
  </r>
  <r>
    <x v="147"/>
    <x v="146"/>
    <x v="147"/>
    <x v="131"/>
    <n v="1.1999999999999999E-3"/>
    <s v="−0.18%"/>
    <n v="3.0000000000000001E-3"/>
    <n v="3.2399999999999998E-2"/>
    <n v="0.42"/>
  </r>
  <r>
    <x v="148"/>
    <x v="147"/>
    <x v="148"/>
    <x v="132"/>
    <n v="8.5000000000000006E-3"/>
    <s v="−1.66%"/>
    <n v="3.8100000000000002E-2"/>
    <s v="−4.49%"/>
    <n v="1.07"/>
  </r>
  <r>
    <x v="149"/>
    <x v="148"/>
    <x v="149"/>
    <x v="133"/>
    <n v="3.5400000000000001E-2"/>
    <n v="0.18079999999999999"/>
    <n v="1.4200000000000001E-2"/>
    <n v="0.1303"/>
    <n v="2.04"/>
  </r>
  <r>
    <x v="150"/>
    <x v="149"/>
    <x v="150"/>
    <x v="43"/>
    <s v="−0.97%"/>
    <n v="0.13450000000000001"/>
    <s v="−4.22%"/>
    <n v="9.8000000000000004E-2"/>
    <n v="1.24"/>
  </r>
  <r>
    <x v="151"/>
    <x v="150"/>
    <x v="151"/>
    <x v="134"/>
    <n v="4.7899999999999998E-2"/>
    <n v="0.17929999999999999"/>
    <s v="−3.29%"/>
    <n v="0.19670000000000001"/>
    <n v="2.4700000000000002"/>
  </r>
  <r>
    <x v="152"/>
    <x v="151"/>
    <x v="152"/>
    <x v="135"/>
    <n v="7.6499999999999999E-2"/>
    <n v="0.21"/>
    <n v="5.0900000000000001E-2"/>
    <n v="0.13569999999999999"/>
    <n v="0.96"/>
  </r>
  <r>
    <x v="153"/>
    <x v="152"/>
    <x v="153"/>
    <x v="136"/>
    <n v="2.1399999999999999E-2"/>
    <n v="3.2000000000000002E-3"/>
    <n v="5.1000000000000004E-3"/>
    <n v="3.61E-2"/>
    <n v="0.63"/>
  </r>
  <r>
    <x v="154"/>
    <x v="153"/>
    <x v="154"/>
    <x v="137"/>
    <n v="2.47E-2"/>
    <n v="3.4799999999999998E-2"/>
    <n v="1.2200000000000001E-2"/>
    <n v="4.0300000000000002E-2"/>
    <n v="1.95"/>
  </r>
  <r>
    <x v="155"/>
    <x v="154"/>
    <x v="155"/>
    <x v="60"/>
    <n v="3.4000000000000002E-2"/>
    <n v="0.14130000000000001"/>
    <s v="−0.64%"/>
    <n v="9.6100000000000005E-2"/>
    <n v="1.82"/>
  </r>
  <r>
    <x v="156"/>
    <x v="155"/>
    <x v="156"/>
    <x v="138"/>
    <n v="4.5199999999999997E-2"/>
    <n v="4.1700000000000001E-2"/>
    <s v="−2.58%"/>
    <n v="0.1258"/>
    <n v="3.8"/>
  </r>
  <r>
    <x v="157"/>
    <x v="156"/>
    <x v="157"/>
    <x v="139"/>
    <n v="8.9099999999999999E-2"/>
    <n v="3.8699999999999998E-2"/>
    <s v="−2.43%"/>
    <n v="0.19"/>
    <n v="1.77"/>
  </r>
  <r>
    <x v="158"/>
    <x v="157"/>
    <x v="158"/>
    <x v="140"/>
    <s v="−3.69%"/>
    <s v="−30.40%"/>
    <s v="−1.39%"/>
    <s v="−26.48%"/>
    <n v="1.73"/>
  </r>
  <r>
    <x v="159"/>
    <x v="158"/>
    <x v="159"/>
    <x v="141"/>
    <n v="5.4899999999999997E-2"/>
    <n v="0.23250000000000001"/>
    <n v="3.8600000000000002E-2"/>
    <n v="0.27610000000000001"/>
    <n v="1.75"/>
  </r>
  <r>
    <x v="160"/>
    <x v="159"/>
    <x v="160"/>
    <x v="142"/>
    <n v="8.2000000000000003E-2"/>
    <s v="−0.61%"/>
    <s v="−8.21%"/>
    <s v="−0.07%"/>
    <n v="2.4900000000000002"/>
  </r>
  <r>
    <x v="161"/>
    <x v="160"/>
    <x v="161"/>
    <x v="143"/>
    <n v="0.42480000000000001"/>
    <n v="0.23730000000000001"/>
    <n v="0.45900000000000002"/>
    <n v="0.40820000000000001"/>
    <n v="2.2999999999999998"/>
  </r>
  <r>
    <x v="162"/>
    <x v="161"/>
    <x v="162"/>
    <x v="144"/>
    <n v="3.5400000000000001E-2"/>
    <n v="0.34420000000000001"/>
    <n v="7.4300000000000005E-2"/>
    <n v="0.43669999999999998"/>
    <n v="4.62"/>
  </r>
  <r>
    <x v="163"/>
    <x v="162"/>
    <x v="163"/>
    <x v="145"/>
    <s v="−5.90%"/>
    <n v="1.7600000000000001E-2"/>
    <s v="−10.15%"/>
    <s v="−1.54%"/>
    <n v="1.23"/>
  </r>
  <r>
    <x v="164"/>
    <x v="163"/>
    <x v="164"/>
    <x v="38"/>
    <n v="1.9199999999999998E-2"/>
    <n v="2.7400000000000001E-2"/>
    <n v="0"/>
    <s v="−0.31%"/>
    <n v="0.84"/>
  </r>
  <r>
    <x v="165"/>
    <x v="164"/>
    <x v="165"/>
    <x v="146"/>
    <n v="5.6000000000000001E-2"/>
    <n v="0.1037"/>
    <n v="2.1299999999999999E-2"/>
    <n v="0.11459999999999999"/>
    <n v="1.4"/>
  </r>
  <r>
    <x v="166"/>
    <x v="165"/>
    <x v="166"/>
    <x v="147"/>
    <n v="7.6700000000000004E-2"/>
    <n v="0.14219999999999999"/>
    <n v="0.1043"/>
    <n v="0.18029999999999999"/>
    <n v="1.86"/>
  </r>
  <r>
    <x v="167"/>
    <x v="166"/>
    <x v="167"/>
    <x v="148"/>
    <s v="−0.52%"/>
    <s v="−3.83%"/>
    <s v="−1.03%"/>
    <n v="3.8699999999999998E-2"/>
    <n v="3.51"/>
  </r>
  <r>
    <x v="168"/>
    <x v="166"/>
    <x v="168"/>
    <x v="149"/>
    <n v="6.1000000000000004E-3"/>
    <n v="0.13469999999999999"/>
    <s v="−0.69%"/>
    <n v="7.3499999999999996E-2"/>
    <n v="1.21"/>
  </r>
  <r>
    <x v="169"/>
    <x v="167"/>
    <x v="169"/>
    <x v="17"/>
    <n v="1.23E-2"/>
    <n v="8.8000000000000005E-3"/>
    <s v="−1.03%"/>
    <s v="−1.37%"/>
    <n v="0.89"/>
  </r>
  <r>
    <x v="170"/>
    <x v="168"/>
    <x v="170"/>
    <x v="45"/>
    <n v="6.88E-2"/>
    <n v="8.8499999999999995E-2"/>
    <n v="4.48E-2"/>
    <n v="7.9100000000000004E-2"/>
    <n v="1.47"/>
  </r>
  <r>
    <x v="171"/>
    <x v="169"/>
    <x v="171"/>
    <x v="150"/>
    <n v="1.3599999999999999E-2"/>
    <n v="8.1500000000000003E-2"/>
    <s v="−5.11%"/>
    <n v="1.46E-2"/>
    <n v="0.41"/>
  </r>
  <r>
    <x v="172"/>
    <x v="170"/>
    <x v="172"/>
    <x v="151"/>
    <n v="4.5699999999999998E-2"/>
    <n v="0.15329999999999999"/>
    <n v="7.7100000000000002E-2"/>
    <n v="0.1208"/>
    <n v="1.01"/>
  </r>
  <r>
    <x v="173"/>
    <x v="171"/>
    <x v="173"/>
    <x v="91"/>
    <n v="3.3300000000000003E-2"/>
    <n v="2.3300000000000001E-2"/>
    <s v="−1.22%"/>
    <n v="1.2500000000000001E-2"/>
    <n v="0.91"/>
  </r>
  <r>
    <x v="174"/>
    <x v="172"/>
    <x v="174"/>
    <x v="152"/>
    <n v="3.4700000000000002E-2"/>
    <n v="0.1585"/>
    <n v="7.3999999999999996E-2"/>
    <n v="0.28689999999999999"/>
    <n v="2.12"/>
  </r>
  <r>
    <x v="175"/>
    <x v="173"/>
    <x v="175"/>
    <x v="153"/>
    <n v="7.2700000000000001E-2"/>
    <n v="0.14130000000000001"/>
    <n v="2.2100000000000002E-2"/>
    <n v="0.1837"/>
    <n v="1.1399999999999999"/>
  </r>
  <r>
    <x v="176"/>
    <x v="174"/>
    <x v="176"/>
    <x v="149"/>
    <n v="5.8999999999999999E-3"/>
    <s v="−4.25%"/>
    <s v="−3.33%"/>
    <s v="−2.78%"/>
    <n v="2.6"/>
  </r>
  <r>
    <x v="177"/>
    <x v="175"/>
    <x v="177"/>
    <x v="98"/>
    <n v="1.43E-2"/>
    <n v="0.22209999999999999"/>
    <s v="−1.87%"/>
    <n v="0.2044"/>
    <n v="1.49"/>
  </r>
  <r>
    <x v="178"/>
    <x v="176"/>
    <x v="178"/>
    <x v="154"/>
    <s v="−0.61%"/>
    <n v="1.7600000000000001E-2"/>
    <s v="−3.73%"/>
    <s v="−0.61%"/>
    <n v="0.83"/>
  </r>
  <r>
    <x v="179"/>
    <x v="177"/>
    <x v="179"/>
    <x v="155"/>
    <s v="−0.41%"/>
    <n v="6.2300000000000001E-2"/>
    <s v="−4.52%"/>
    <n v="7.2800000000000004E-2"/>
    <n v="1.25"/>
  </r>
  <r>
    <x v="180"/>
    <x v="178"/>
    <x v="180"/>
    <x v="156"/>
    <n v="2.6100000000000002E-2"/>
    <n v="0.1346"/>
    <s v="−3.97%"/>
    <n v="0.1225"/>
    <n v="2.68"/>
  </r>
  <r>
    <x v="181"/>
    <x v="179"/>
    <x v="181"/>
    <x v="36"/>
    <n v="3.7600000000000001E-2"/>
    <n v="9.9599999999999994E-2"/>
    <n v="9.7000000000000003E-3"/>
    <n v="0.57650000000000001"/>
    <n v="1.68"/>
  </r>
  <r>
    <x v="182"/>
    <x v="180"/>
    <x v="182"/>
    <x v="54"/>
    <s v="−7.34%"/>
    <s v="−6.13%"/>
    <s v="−13.28%"/>
    <s v="−18.00%"/>
    <n v="1.02"/>
  </r>
  <r>
    <x v="183"/>
    <x v="181"/>
    <x v="183"/>
    <x v="45"/>
    <s v="−0.43%"/>
    <s v="−0.32%"/>
    <s v="−5.19%"/>
    <s v="−5.67%"/>
    <n v="1.31"/>
  </r>
  <r>
    <x v="184"/>
    <x v="182"/>
    <x v="184"/>
    <x v="157"/>
    <n v="0.1452"/>
    <n v="8.1799999999999998E-2"/>
    <n v="9.2299999999999993E-2"/>
    <n v="6.1400000000000003E-2"/>
    <n v="1.54"/>
  </r>
  <r>
    <x v="185"/>
    <x v="183"/>
    <x v="185"/>
    <x v="158"/>
    <n v="7.1300000000000002E-2"/>
    <n v="0.27810000000000001"/>
    <n v="4.2299999999999997E-2"/>
    <n v="0.69269999999999998"/>
    <n v="2.21"/>
  </r>
  <r>
    <x v="186"/>
    <x v="184"/>
    <x v="186"/>
    <x v="109"/>
    <n v="9.9500000000000005E-2"/>
    <n v="0.2782"/>
    <n v="8.4500000000000006E-2"/>
    <n v="0.27450000000000002"/>
    <n v="1.58"/>
  </r>
  <r>
    <x v="187"/>
    <x v="185"/>
    <x v="187"/>
    <x v="159"/>
    <s v="−1.73%"/>
    <n v="6.4799999999999996E-2"/>
    <s v="−4.26%"/>
    <n v="4.7899999999999998E-2"/>
    <n v="1.95"/>
  </r>
  <r>
    <x v="188"/>
    <x v="186"/>
    <x v="188"/>
    <x v="160"/>
    <n v="0.13589999999999999"/>
    <s v="−13.55%"/>
    <n v="3.0800000000000001E-2"/>
    <n v="1.1999999999999999E-3"/>
    <n v="2.56"/>
  </r>
  <r>
    <x v="189"/>
    <x v="187"/>
    <x v="189"/>
    <x v="161"/>
    <n v="0.12859999999999999"/>
    <n v="0.2651"/>
    <n v="8.3699999999999997E-2"/>
    <n v="0.19650000000000001"/>
    <n v="2.27"/>
  </r>
  <r>
    <x v="190"/>
    <x v="188"/>
    <x v="190"/>
    <x v="162"/>
    <n v="3.1699999999999999E-2"/>
    <n v="0.1573"/>
    <n v="1.17E-2"/>
    <n v="0.12720000000000001"/>
    <n v="0.75"/>
  </r>
  <r>
    <x v="191"/>
    <x v="189"/>
    <x v="191"/>
    <x v="163"/>
    <s v="−4.39%"/>
    <s v="−7.59%"/>
    <s v="−17.18%"/>
    <s v="−13.19%"/>
    <n v="3.45"/>
  </r>
  <r>
    <x v="192"/>
    <x v="190"/>
    <x v="192"/>
    <x v="164"/>
    <n v="0.1239"/>
    <s v="−6.46%"/>
    <n v="6.7000000000000002E-3"/>
    <n v="8.8200000000000001E-2"/>
    <n v="2.38"/>
  </r>
  <r>
    <x v="193"/>
    <x v="191"/>
    <x v="193"/>
    <x v="165"/>
    <s v="−8.55%"/>
    <s v="−15.56%"/>
    <s v="−10.65%"/>
    <s v="−4.16%"/>
    <n v="1.27"/>
  </r>
  <r>
    <x v="194"/>
    <x v="192"/>
    <x v="194"/>
    <x v="166"/>
    <s v="−0.14%"/>
    <n v="2.7000000000000001E-3"/>
    <s v="−7.59%"/>
    <n v="4.2900000000000001E-2"/>
    <n v="3.15"/>
  </r>
  <r>
    <x v="195"/>
    <x v="193"/>
    <x v="195"/>
    <x v="167"/>
    <n v="6.4299999999999996E-2"/>
    <n v="0.1217"/>
    <s v="−1.62%"/>
    <n v="0.16289999999999999"/>
    <n v="2.4"/>
  </r>
  <r>
    <x v="196"/>
    <x v="194"/>
    <x v="196"/>
    <x v="168"/>
    <s v="−9.32%"/>
    <n v="1.3150999999999999"/>
    <n v="0.28570000000000001"/>
    <n v="1.0570999999999999"/>
    <n v="10.029999999999999"/>
  </r>
  <r>
    <x v="197"/>
    <x v="195"/>
    <x v="197"/>
    <x v="169"/>
    <n v="5.74E-2"/>
    <s v="−2.64%"/>
    <s v="−1.78%"/>
    <n v="1.5299999999999999E-2"/>
    <n v="2.87"/>
  </r>
  <r>
    <x v="198"/>
    <x v="196"/>
    <x v="198"/>
    <x v="170"/>
    <n v="9.6299999999999997E-2"/>
    <n v="2.64E-2"/>
    <n v="9.1999999999999998E-3"/>
    <s v="−0.60%"/>
    <n v="2.0099999999999998"/>
  </r>
  <r>
    <x v="199"/>
    <x v="197"/>
    <x v="199"/>
    <x v="171"/>
    <n v="0.17369999999999999"/>
    <s v="−17.27%"/>
    <n v="1.9E-2"/>
    <s v="−15.42%"/>
    <n v="1.93"/>
  </r>
  <r>
    <x v="200"/>
    <x v="198"/>
    <x v="200"/>
    <x v="172"/>
    <n v="0.1477"/>
    <n v="0.24540000000000001"/>
    <n v="9.4500000000000001E-2"/>
    <n v="0.26340000000000002"/>
    <n v="2.54"/>
  </r>
  <r>
    <x v="201"/>
    <x v="199"/>
    <x v="201"/>
    <x v="173"/>
    <n v="4.36E-2"/>
    <n v="0.2034"/>
    <n v="5.5100000000000003E-2"/>
    <n v="0.12330000000000001"/>
    <n v="1.0900000000000001"/>
  </r>
  <r>
    <x v="202"/>
    <x v="200"/>
    <x v="202"/>
    <x v="174"/>
    <n v="2.1484000000000001"/>
    <n v="2.0806"/>
    <n v="2.0973000000000002"/>
    <n v="2.3509000000000002"/>
    <n v="3.23"/>
  </r>
  <r>
    <x v="203"/>
    <x v="201"/>
    <x v="203"/>
    <x v="175"/>
    <s v="−6.41%"/>
    <n v="1.0690999999999999"/>
    <n v="1.8E-3"/>
    <n v="1.1635"/>
    <s v="−17.26"/>
  </r>
  <r>
    <x v="204"/>
    <x v="202"/>
    <x v="204"/>
    <x v="176"/>
    <n v="1.8E-3"/>
    <s v="−8.05%"/>
    <s v="−8.97%"/>
    <s v="−13.84%"/>
    <n v="1.25"/>
  </r>
  <r>
    <x v="205"/>
    <x v="203"/>
    <x v="205"/>
    <x v="177"/>
    <n v="3.6999999999999998E-2"/>
    <s v="−3.62%"/>
    <s v="−8.20%"/>
    <n v="0.12709999999999999"/>
    <n v="2.37"/>
  </r>
  <r>
    <x v="206"/>
    <x v="204"/>
    <x v="206"/>
    <x v="178"/>
    <n v="2.75E-2"/>
    <s v="−16.72%"/>
    <s v="−11.21%"/>
    <s v="−20.40%"/>
    <n v="2.0099999999999998"/>
  </r>
  <r>
    <x v="207"/>
    <x v="205"/>
    <x v="207"/>
    <x v="179"/>
    <n v="0.433"/>
    <n v="1.276"/>
    <n v="0.55249999999999999"/>
    <n v="1.6474"/>
    <n v="1.48"/>
  </r>
  <r>
    <x v="208"/>
    <x v="205"/>
    <x v="208"/>
    <x v="180"/>
    <n v="0.01"/>
    <s v="−5.63%"/>
    <s v="−0.59%"/>
    <s v="−5.45%"/>
    <n v="1.32"/>
  </r>
  <r>
    <x v="209"/>
    <x v="206"/>
    <x v="209"/>
    <x v="162"/>
    <s v="−1.23%"/>
    <n v="2.0999999999999999E-3"/>
    <s v="−8.05%"/>
    <n v="3.4500000000000003E-2"/>
    <n v="1.6"/>
  </r>
  <r>
    <x v="210"/>
    <x v="207"/>
    <x v="210"/>
    <x v="181"/>
    <n v="9.2200000000000004E-2"/>
    <n v="0.36990000000000001"/>
    <s v="−21.00%"/>
    <n v="0.22159999999999999"/>
    <n v="2.04"/>
  </r>
  <r>
    <x v="211"/>
    <x v="208"/>
    <x v="211"/>
    <x v="182"/>
    <n v="0.28689999999999999"/>
    <n v="0.54430000000000001"/>
    <n v="0.2046"/>
    <n v="0.62409999999999999"/>
    <n v="0.56999999999999995"/>
  </r>
  <r>
    <x v="212"/>
    <x v="209"/>
    <x v="212"/>
    <x v="183"/>
    <n v="2.76E-2"/>
    <n v="0.31859999999999999"/>
    <n v="0.10920000000000001"/>
    <n v="0.79520000000000002"/>
    <n v="2.88"/>
  </r>
  <r>
    <x v="213"/>
    <x v="210"/>
    <x v="213"/>
    <x v="184"/>
    <n v="9.98E-2"/>
    <s v="−2.00%"/>
    <s v="−4.13%"/>
    <s v="−7.16%"/>
    <n v="2.6"/>
  </r>
  <r>
    <x v="214"/>
    <x v="211"/>
    <x v="214"/>
    <x v="177"/>
    <n v="1.6400000000000001E-2"/>
    <n v="5.3499999999999999E-2"/>
    <s v="−7.68%"/>
    <n v="9.9000000000000005E-2"/>
    <n v="1.54"/>
  </r>
  <r>
    <x v="215"/>
    <x v="212"/>
    <x v="215"/>
    <x v="185"/>
    <n v="0.1149"/>
    <n v="0.19939999999999999"/>
    <n v="0.1326"/>
    <n v="0.22700000000000001"/>
    <n v="0.83"/>
  </r>
  <r>
    <x v="216"/>
    <x v="213"/>
    <x v="216"/>
    <x v="186"/>
    <s v="−7.84%"/>
    <s v="−1.40%"/>
    <s v="−7.24%"/>
    <s v="−1.17%"/>
    <n v="2.86"/>
  </r>
  <r>
    <x v="217"/>
    <x v="214"/>
    <x v="217"/>
    <x v="187"/>
    <n v="0.3584"/>
    <n v="0.50760000000000005"/>
    <n v="0.26750000000000002"/>
    <n v="0.73040000000000005"/>
    <n v="3.71"/>
  </r>
  <r>
    <x v="218"/>
    <x v="215"/>
    <x v="218"/>
    <x v="188"/>
    <n v="7.3400000000000007E-2"/>
    <s v="−0.25%"/>
    <s v="−6.84%"/>
    <n v="3.1300000000000001E-2"/>
    <n v="2.82"/>
  </r>
  <r>
    <x v="219"/>
    <x v="216"/>
    <x v="219"/>
    <x v="189"/>
    <s v="−11.71%"/>
    <s v="−22.81%"/>
    <s v="−16.59%"/>
    <s v="−1.90%"/>
    <n v="1.98"/>
  </r>
  <r>
    <x v="220"/>
    <x v="217"/>
    <x v="220"/>
    <x v="190"/>
    <n v="0"/>
    <n v="0.31659999999999999"/>
    <n v="3.0200000000000001E-2"/>
    <n v="0.29170000000000001"/>
    <n v="1.91"/>
  </r>
  <r>
    <x v="221"/>
    <x v="218"/>
    <x v="221"/>
    <x v="191"/>
    <s v="−5.83%"/>
    <n v="1.4999999999999999E-2"/>
    <s v="−11.72%"/>
    <n v="5.7700000000000001E-2"/>
    <n v="0.51"/>
  </r>
  <r>
    <x v="222"/>
    <x v="219"/>
    <x v="222"/>
    <x v="192"/>
    <n v="1.5599999999999999E-2"/>
    <n v="9.06E-2"/>
    <s v="−3.56%"/>
    <n v="8.3299999999999999E-2"/>
    <n v="1.38"/>
  </r>
  <r>
    <x v="223"/>
    <x v="220"/>
    <x v="223"/>
    <x v="177"/>
    <n v="3.2399999999999998E-2"/>
    <n v="2.9000000000000001E-2"/>
    <s v="−2.74%"/>
    <s v="−9.38%"/>
    <n v="1.96"/>
  </r>
  <r>
    <x v="224"/>
    <x v="221"/>
    <x v="224"/>
    <x v="193"/>
    <s v="−1.58%"/>
    <s v="−4.89%"/>
    <s v="−1.27%"/>
    <s v="−4.60%"/>
    <n v="0.51"/>
  </r>
  <r>
    <x v="225"/>
    <x v="222"/>
    <x v="225"/>
    <x v="194"/>
    <s v="−17.77%"/>
    <s v="−26.01%"/>
    <s v="−25.12%"/>
    <s v="−17.55%"/>
    <n v="2.08"/>
  </r>
  <r>
    <x v="226"/>
    <x v="223"/>
    <x v="226"/>
    <x v="195"/>
    <s v="−14.58%"/>
    <n v="0.49490000000000001"/>
    <s v="−4.25%"/>
    <n v="0.25750000000000001"/>
    <n v="1.28"/>
  </r>
  <r>
    <x v="227"/>
    <x v="224"/>
    <x v="227"/>
    <x v="196"/>
    <n v="1.8100000000000002E-2"/>
    <s v="−6.33%"/>
    <s v="−3.77%"/>
    <s v="−5.07%"/>
    <n v="1.24"/>
  </r>
  <r>
    <x v="228"/>
    <x v="225"/>
    <x v="228"/>
    <x v="197"/>
    <n v="0.28170000000000001"/>
    <n v="6.6400000000000001E-2"/>
    <n v="8.3299999999999999E-2"/>
    <n v="0.15679999999999999"/>
    <n v="2.86"/>
  </r>
  <r>
    <x v="229"/>
    <x v="226"/>
    <x v="229"/>
    <x v="198"/>
    <n v="7.7600000000000002E-2"/>
    <n v="0.82269999999999999"/>
    <n v="3.6299999999999999E-2"/>
    <n v="0.90369999999999995"/>
    <n v="2.16"/>
  </r>
  <r>
    <x v="230"/>
    <x v="227"/>
    <x v="230"/>
    <x v="102"/>
    <s v="−1.71%"/>
    <n v="4.07E-2"/>
    <s v="−11.20%"/>
    <s v="−4.17%"/>
    <n v="3.37"/>
  </r>
  <r>
    <x v="231"/>
    <x v="228"/>
    <x v="231"/>
    <x v="199"/>
    <n v="0.38040000000000002"/>
    <n v="0.78569999999999995"/>
    <n v="0.26400000000000001"/>
    <n v="0.85950000000000004"/>
    <n v="1.88"/>
  </r>
  <r>
    <x v="232"/>
    <x v="229"/>
    <x v="232"/>
    <x v="200"/>
    <n v="0.1978"/>
    <n v="0.10100000000000001"/>
    <n v="4.3099999999999999E-2"/>
    <n v="0.15959999999999999"/>
    <n v="1.85"/>
  </r>
  <r>
    <x v="233"/>
    <x v="230"/>
    <x v="233"/>
    <x v="80"/>
    <s v="−2.75%"/>
    <n v="0"/>
    <s v="−12.03%"/>
    <n v="2.9100000000000001E-2"/>
    <n v="2.0499999999999998"/>
  </r>
  <r>
    <x v="234"/>
    <x v="231"/>
    <x v="170"/>
    <x v="201"/>
    <n v="5.3199999999999997E-2"/>
    <n v="0.27739999999999998"/>
    <s v="−1.00%"/>
    <n v="0.23749999999999999"/>
    <n v="2.42"/>
  </r>
  <r>
    <x v="235"/>
    <x v="232"/>
    <x v="234"/>
    <x v="202"/>
    <s v="−2.04%"/>
    <s v="−5.42%"/>
    <s v="−5.88%"/>
    <s v="−4.00%"/>
    <n v="1.48"/>
  </r>
  <r>
    <x v="236"/>
    <x v="233"/>
    <x v="235"/>
    <x v="203"/>
    <n v="7.0599999999999996E-2"/>
    <n v="0.15190000000000001"/>
    <s v="−3.19%"/>
    <n v="0.17419999999999999"/>
    <n v="2.2200000000000002"/>
  </r>
  <r>
    <x v="237"/>
    <x v="234"/>
    <x v="236"/>
    <x v="204"/>
    <s v="−1.16%"/>
    <n v="9.6199999999999994E-2"/>
    <s v="−8.56%"/>
    <n v="0.17929999999999999"/>
    <n v="1.79"/>
  </r>
  <r>
    <x v="238"/>
    <x v="235"/>
    <x v="237"/>
    <x v="119"/>
    <n v="3.95E-2"/>
    <s v="−5.39%"/>
    <n v="2.5999999999999999E-2"/>
    <s v="−13.66%"/>
    <n v="1.8"/>
  </r>
  <r>
    <x v="239"/>
    <x v="236"/>
    <x v="238"/>
    <x v="205"/>
    <n v="8.2699999999999996E-2"/>
    <n v="0.1163"/>
    <n v="5.8799999999999998E-2"/>
    <n v="0.25219999999999998"/>
    <n v="1.96"/>
  </r>
  <r>
    <x v="240"/>
    <x v="237"/>
    <x v="239"/>
    <x v="206"/>
    <s v="−21.47%"/>
    <s v="−5.44%"/>
    <s v="−13.66%"/>
    <n v="0.25230000000000002"/>
    <n v="2.08"/>
  </r>
  <r>
    <x v="241"/>
    <x v="238"/>
    <x v="240"/>
    <x v="207"/>
    <n v="2.2700000000000001E-2"/>
    <n v="0.1157"/>
    <s v="−1.46%"/>
    <n v="2.2700000000000001E-2"/>
    <n v="2.09"/>
  </r>
  <r>
    <x v="242"/>
    <x v="239"/>
    <x v="241"/>
    <x v="208"/>
    <n v="0.105"/>
    <s v="−53.70%"/>
    <s v="−6.07%"/>
    <s v="−63.37%"/>
    <n v="1.48"/>
  </r>
  <r>
    <x v="243"/>
    <x v="240"/>
    <x v="242"/>
    <x v="209"/>
    <s v="−9.70%"/>
    <s v="−3.96%"/>
    <s v="−11.68%"/>
    <s v="−9.70%"/>
    <n v="0.89"/>
  </r>
  <r>
    <x v="244"/>
    <x v="241"/>
    <x v="243"/>
    <x v="210"/>
    <s v="−10.08%"/>
    <n v="0.85899999999999999"/>
    <s v="−13.75%"/>
    <n v="0.88529999999999998"/>
    <n v="2.11"/>
  </r>
  <r>
    <x v="245"/>
    <x v="242"/>
    <x v="244"/>
    <x v="211"/>
    <n v="2.7E-2"/>
    <n v="6.54E-2"/>
    <s v="−5.00%"/>
    <n v="4.5900000000000003E-2"/>
    <n v="4.71"/>
  </r>
  <r>
    <x v="246"/>
    <x v="243"/>
    <x v="245"/>
    <x v="51"/>
    <s v="−1.69%"/>
    <n v="2.9000000000000001E-2"/>
    <n v="1.34E-2"/>
    <s v="−9.70%"/>
    <n v="2.0699999999999998"/>
  </r>
  <r>
    <x v="247"/>
    <x v="244"/>
    <x v="246"/>
    <x v="212"/>
    <n v="2.8999999999999998E-3"/>
    <s v="−4.37%"/>
    <s v="−16.32%"/>
    <s v="−4.06%"/>
    <n v="2.13"/>
  </r>
  <r>
    <x v="248"/>
    <x v="245"/>
    <x v="247"/>
    <x v="213"/>
    <s v="−9.87%"/>
    <n v="0.14979999999999999"/>
    <s v="−1.27%"/>
    <n v="0.12239999999999999"/>
    <n v="1.46"/>
  </r>
  <r>
    <x v="249"/>
    <x v="246"/>
    <x v="248"/>
    <x v="214"/>
    <s v="−6.11%"/>
    <s v="−16.12%"/>
    <s v="−15.44%"/>
    <s v="−12.70%"/>
    <n v="2.97"/>
  </r>
  <r>
    <x v="250"/>
    <x v="247"/>
    <x v="249"/>
    <x v="215"/>
    <s v="−26.33%"/>
    <n v="3.5400000000000001E-2"/>
    <s v="−17.45%"/>
    <n v="0.2326"/>
    <n v="1.46"/>
  </r>
  <r>
    <x v="251"/>
    <x v="248"/>
    <x v="250"/>
    <x v="216"/>
    <s v="−1.06%"/>
    <n v="0.13930000000000001"/>
    <s v="−8.85%"/>
    <n v="0.16600000000000001"/>
    <n v="1.84"/>
  </r>
  <r>
    <x v="252"/>
    <x v="249"/>
    <x v="251"/>
    <x v="217"/>
    <s v="−10.00%"/>
    <n v="0.82450000000000001"/>
    <s v="−7.84%"/>
    <n v="0.65259999999999996"/>
    <n v="2.5099999999999998"/>
  </r>
  <r>
    <x v="253"/>
    <x v="250"/>
    <x v="252"/>
    <x v="218"/>
    <s v="−3.33%"/>
    <n v="1.52E-2"/>
    <s v="−9.38%"/>
    <s v="−14.71%"/>
    <n v="0.57999999999999996"/>
  </r>
  <r>
    <x v="254"/>
    <x v="251"/>
    <x v="253"/>
    <x v="219"/>
    <s v="−13.14%"/>
    <s v="−21.89%"/>
    <s v="−23.81%"/>
    <s v="−25.12%"/>
    <n v="2.73"/>
  </r>
  <r>
    <x v="255"/>
    <x v="252"/>
    <x v="254"/>
    <x v="220"/>
    <s v="−10.62%"/>
    <s v="−35.33%"/>
    <s v="−22.58%"/>
    <s v="−36.87%"/>
    <n v="2.0099999999999998"/>
  </r>
  <r>
    <x v="256"/>
    <x v="253"/>
    <x v="255"/>
    <x v="221"/>
    <s v="−4.93%"/>
    <n v="1.9276"/>
    <n v="1.5523"/>
    <n v="1.7125999999999999"/>
    <n v="0.78"/>
  </r>
  <r>
    <x v="257"/>
    <x v="254"/>
    <x v="256"/>
    <x v="222"/>
    <n v="7.2900000000000006E-2"/>
    <s v="−63.00%"/>
    <n v="0.36409999999999998"/>
    <s v="−67.73%"/>
    <n v="2.7"/>
  </r>
  <r>
    <x v="258"/>
    <x v="255"/>
    <x v="257"/>
    <x v="1"/>
    <n v="3.27E-2"/>
    <n v="0.6704"/>
    <s v="−7.12%"/>
    <n v="0.6724"/>
    <n v="1.84"/>
  </r>
  <r>
    <x v="259"/>
    <x v="256"/>
    <x v="258"/>
    <x v="223"/>
    <n v="1.1599999999999999E-2"/>
    <n v="0.32290000000000002"/>
    <s v="−13.20%"/>
    <n v="0.1467"/>
    <n v="1.85"/>
  </r>
  <r>
    <x v="260"/>
    <x v="256"/>
    <x v="259"/>
    <x v="224"/>
    <n v="0.25140000000000001"/>
    <n v="0.51370000000000005"/>
    <n v="0.13880000000000001"/>
    <n v="0.3548"/>
    <n v="3.13"/>
  </r>
  <r>
    <x v="261"/>
    <x v="257"/>
    <x v="260"/>
    <x v="225"/>
    <n v="0.49759999999999999"/>
    <n v="0.86519999999999997"/>
    <n v="0.56869999999999998"/>
    <n v="0.91279999999999994"/>
    <n v="0.65"/>
  </r>
  <r>
    <x v="262"/>
    <x v="257"/>
    <x v="261"/>
    <x v="226"/>
    <n v="0.25629999999999997"/>
    <n v="3.6900000000000002E-2"/>
    <n v="0.1338"/>
    <n v="8.6999999999999994E-2"/>
    <n v="1.42"/>
  </r>
  <r>
    <x v="263"/>
    <x v="258"/>
    <x v="262"/>
    <x v="227"/>
    <s v="−11.16%"/>
    <n v="2.7699999999999999E-2"/>
    <s v="−9.84%"/>
    <n v="0.15"/>
    <n v="1.06"/>
  </r>
  <r>
    <x v="264"/>
    <x v="259"/>
    <x v="263"/>
    <x v="228"/>
    <n v="5.9200000000000003E-2"/>
    <s v="−2.44%"/>
    <n v="6.9000000000000006E-2"/>
    <n v="0.1429"/>
    <n v="3.7"/>
  </r>
  <r>
    <x v="265"/>
    <x v="259"/>
    <x v="264"/>
    <x v="229"/>
    <s v="−3.17%"/>
    <s v="−10.91%"/>
    <s v="−21.59%"/>
    <n v="9.7000000000000003E-3"/>
    <n v="2.3199999999999998"/>
  </r>
  <r>
    <x v="266"/>
    <x v="260"/>
    <x v="265"/>
    <x v="230"/>
    <s v="−19.89%"/>
    <s v="−46.58%"/>
    <s v="−18.35%"/>
    <n v="0.14760000000000001"/>
    <n v="2.8"/>
  </r>
  <r>
    <x v="267"/>
    <x v="261"/>
    <x v="266"/>
    <x v="231"/>
    <n v="3.09E-2"/>
    <s v="−4.76%"/>
    <s v="−4.76%"/>
    <s v="−14.89%"/>
    <n v="0.03"/>
  </r>
  <r>
    <x v="268"/>
    <x v="262"/>
    <x v="267"/>
    <x v="232"/>
    <s v="−2.70%"/>
    <s v="−29.76%"/>
    <s v="−4.16%"/>
    <s v="−36.36%"/>
    <s v="−0.25"/>
  </r>
  <r>
    <x v="269"/>
    <x v="263"/>
    <x v="268"/>
    <x v="233"/>
    <s v="−10.39%"/>
    <s v="−13.49%"/>
    <s v="−15.20%"/>
    <s v="−12.22%"/>
    <n v="0.52"/>
  </r>
  <r>
    <x v="270"/>
    <x v="264"/>
    <x v="269"/>
    <x v="234"/>
    <s v="−9.35%"/>
    <n v="5.7599999999999998E-2"/>
    <s v="−9.06%"/>
    <n v="4.9599999999999998E-2"/>
    <n v="0.64"/>
  </r>
  <r>
    <x v="271"/>
    <x v="265"/>
    <x v="270"/>
    <x v="235"/>
    <s v="−17.10%"/>
    <s v="−66.55%"/>
    <s v="−31.90%"/>
    <s v="−70.77%"/>
    <n v="2.87"/>
  </r>
  <r>
    <x v="272"/>
    <x v="265"/>
    <x v="271"/>
    <x v="236"/>
    <n v="0.1176"/>
    <n v="5.6500000000000002E-2"/>
    <n v="0.14799999999999999"/>
    <n v="2.1499999999999998E-2"/>
    <n v="0.69"/>
  </r>
  <r>
    <x v="273"/>
    <x v="265"/>
    <x v="272"/>
    <x v="237"/>
    <s v="−35.08%"/>
    <s v="−84.83%"/>
    <s v="−38.83%"/>
    <s v="−88.14%"/>
    <n v="2.99"/>
  </r>
  <r>
    <x v="274"/>
    <x v="266"/>
    <x v="273"/>
    <x v="238"/>
    <s v="−6.95%"/>
    <s v="−3.91%"/>
    <s v="−4.64%"/>
    <s v="−9.52%"/>
    <n v="0.47"/>
  </r>
  <r>
    <x v="275"/>
    <x v="267"/>
    <x v="274"/>
    <x v="121"/>
    <s v="−12.85%"/>
    <n v="0.90480000000000005"/>
    <s v="−19.92%"/>
    <n v="0.99"/>
    <n v="1.93"/>
  </r>
  <r>
    <x v="276"/>
    <x v="268"/>
    <x v="275"/>
    <x v="239"/>
    <s v="−4.87%"/>
    <s v="−8.83%"/>
    <s v="−3.51%"/>
    <s v="−7.47%"/>
    <n v="0.44"/>
  </r>
  <r>
    <x v="277"/>
    <x v="268"/>
    <x v="276"/>
    <x v="240"/>
    <s v="−9.61%"/>
    <s v="−23.67%"/>
    <s v="−1.86%"/>
    <s v="−31.30%"/>
    <n v="1.62"/>
  </r>
  <r>
    <x v="278"/>
    <x v="269"/>
    <x v="277"/>
    <x v="241"/>
    <s v="−40.32%"/>
    <s v="−38.33%"/>
    <s v="−40.96%"/>
    <s v="−51.66%"/>
    <n v="1.1299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2" cacheId="75" applyNumberFormats="0" applyBorderFormats="0" applyFontFormats="0" applyPatternFormats="0" applyAlignmentFormats="0" applyWidthHeightFormats="1" dataCaption="Values" errorCaption="0" showError="1" updatedVersion="6" minRefreshableVersion="3" useAutoFormatting="1" itemPrintTitles="1" createdVersion="6" indent="0" outline="1" outlineData="1" multipleFieldFilters="0" rowHeaderCaption="Price">
  <location ref="A3:C32" firstHeaderRow="0" firstDataRow="1" firstDataCol="1" rowPageCount="1" colPageCount="1"/>
  <pivotFields count="9">
    <pivotField axis="axisPage" subtotalTop="0" showAll="0">
      <items count="280">
        <item x="141"/>
        <item x="11"/>
        <item x="22"/>
        <item x="25"/>
        <item x="32"/>
        <item x="0"/>
        <item x="168"/>
        <item x="135"/>
        <item x="156"/>
        <item x="237"/>
        <item x="256"/>
        <item x="96"/>
        <item x="19"/>
        <item x="213"/>
        <item x="178"/>
        <item x="31"/>
        <item x="24"/>
        <item x="103"/>
        <item x="191"/>
        <item x="133"/>
        <item x="266"/>
        <item x="221"/>
        <item x="228"/>
        <item x="43"/>
        <item x="229"/>
        <item x="253"/>
        <item x="136"/>
        <item x="10"/>
        <item x="114"/>
        <item x="230"/>
        <item x="202"/>
        <item x="151"/>
        <item x="276"/>
        <item x="108"/>
        <item x="58"/>
        <item x="249"/>
        <item x="262"/>
        <item x="66"/>
        <item x="212"/>
        <item x="76"/>
        <item x="71"/>
        <item x="143"/>
        <item x="227"/>
        <item x="121"/>
        <item x="94"/>
        <item x="188"/>
        <item x="46"/>
        <item x="149"/>
        <item x="246"/>
        <item x="216"/>
        <item x="81"/>
        <item x="50"/>
        <item x="35"/>
        <item x="144"/>
        <item x="9"/>
        <item x="70"/>
        <item x="101"/>
        <item x="125"/>
        <item x="115"/>
        <item x="51"/>
        <item x="17"/>
        <item x="75"/>
        <item x="117"/>
        <item x="68"/>
        <item x="39"/>
        <item x="198"/>
        <item x="122"/>
        <item x="236"/>
        <item x="69"/>
        <item x="73"/>
        <item x="261"/>
        <item x="177"/>
        <item x="225"/>
        <item x="145"/>
        <item x="207"/>
        <item x="86"/>
        <item x="164"/>
        <item x="181"/>
        <item x="218"/>
        <item x="84"/>
        <item x="159"/>
        <item x="233"/>
        <item x="87"/>
        <item x="265"/>
        <item x="171"/>
        <item x="67"/>
        <item x="119"/>
        <item x="118"/>
        <item x="243"/>
        <item x="206"/>
        <item x="200"/>
        <item x="152"/>
        <item x="47"/>
        <item x="234"/>
        <item x="33"/>
        <item x="224"/>
        <item x="239"/>
        <item x="45"/>
        <item x="99"/>
        <item x="88"/>
        <item x="124"/>
        <item x="254"/>
        <item x="148"/>
        <item x="26"/>
        <item x="127"/>
        <item x="187"/>
        <item x="222"/>
        <item x="104"/>
        <item x="173"/>
        <item x="214"/>
        <item x="4"/>
        <item x="208"/>
        <item x="175"/>
        <item x="150"/>
        <item x="111"/>
        <item x="275"/>
        <item x="138"/>
        <item x="255"/>
        <item x="102"/>
        <item x="161"/>
        <item x="193"/>
        <item x="264"/>
        <item x="186"/>
        <item x="15"/>
        <item x="20"/>
        <item x="137"/>
        <item x="109"/>
        <item x="183"/>
        <item x="97"/>
        <item x="146"/>
        <item x="60"/>
        <item x="204"/>
        <item x="74"/>
        <item x="130"/>
        <item x="197"/>
        <item x="199"/>
        <item x="232"/>
        <item x="95"/>
        <item x="174"/>
        <item x="155"/>
        <item x="162"/>
        <item x="226"/>
        <item x="41"/>
        <item x="271"/>
        <item x="49"/>
        <item x="40"/>
        <item x="65"/>
        <item x="5"/>
        <item x="268"/>
        <item x="267"/>
        <item x="77"/>
        <item x="269"/>
        <item x="209"/>
        <item x="30"/>
        <item x="131"/>
        <item x="61"/>
        <item x="42"/>
        <item x="3"/>
        <item x="80"/>
        <item x="52"/>
        <item x="273"/>
        <item x="219"/>
        <item x="274"/>
        <item x="134"/>
        <item x="48"/>
        <item x="82"/>
        <item x="53"/>
        <item x="1"/>
        <item x="29"/>
        <item x="244"/>
        <item x="90"/>
        <item x="190"/>
        <item x="192"/>
        <item x="2"/>
        <item x="270"/>
        <item x="245"/>
        <item x="184"/>
        <item x="170"/>
        <item x="251"/>
        <item x="38"/>
        <item x="107"/>
        <item x="217"/>
        <item x="28"/>
        <item x="91"/>
        <item x="62"/>
        <item x="189"/>
        <item x="182"/>
        <item x="7"/>
        <item x="154"/>
        <item x="147"/>
        <item x="13"/>
        <item x="92"/>
        <item x="18"/>
        <item x="113"/>
        <item x="157"/>
        <item x="180"/>
        <item x="37"/>
        <item x="120"/>
        <item x="172"/>
        <item x="93"/>
        <item x="194"/>
        <item x="54"/>
        <item x="231"/>
        <item x="27"/>
        <item x="195"/>
        <item x="85"/>
        <item x="263"/>
        <item x="142"/>
        <item x="167"/>
        <item x="160"/>
        <item x="55"/>
        <item x="140"/>
        <item x="158"/>
        <item x="223"/>
        <item x="36"/>
        <item x="64"/>
        <item x="248"/>
        <item x="258"/>
        <item x="57"/>
        <item x="215"/>
        <item x="72"/>
        <item x="166"/>
        <item x="12"/>
        <item x="185"/>
        <item x="250"/>
        <item x="211"/>
        <item x="210"/>
        <item x="176"/>
        <item x="56"/>
        <item x="257"/>
        <item x="205"/>
        <item x="163"/>
        <item x="201"/>
        <item x="100"/>
        <item x="278"/>
        <item x="153"/>
        <item x="241"/>
        <item x="110"/>
        <item x="23"/>
        <item x="242"/>
        <item x="272"/>
        <item x="44"/>
        <item x="238"/>
        <item x="21"/>
        <item x="132"/>
        <item x="6"/>
        <item x="277"/>
        <item x="14"/>
        <item x="79"/>
        <item x="63"/>
        <item x="78"/>
        <item x="196"/>
        <item x="220"/>
        <item x="98"/>
        <item x="105"/>
        <item x="259"/>
        <item x="8"/>
        <item x="203"/>
        <item x="139"/>
        <item x="128"/>
        <item x="179"/>
        <item x="89"/>
        <item x="59"/>
        <item x="112"/>
        <item x="165"/>
        <item x="260"/>
        <item x="83"/>
        <item x="247"/>
        <item x="240"/>
        <item x="106"/>
        <item x="16"/>
        <item x="252"/>
        <item x="169"/>
        <item x="126"/>
        <item x="235"/>
        <item x="34"/>
        <item x="129"/>
        <item x="123"/>
        <item x="116"/>
        <item t="default"/>
      </items>
    </pivotField>
    <pivotField axis="axisRow" numFmtId="2" subtotalTop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umFmtId="169" subtotalTop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umFmtId="10" subtotalTop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ubtotalTop="0" showAll="0"/>
    <pivotField dataField="1" subtotalTop="0" showAll="0"/>
    <pivotField subtotalTop="0" showAll="0"/>
    <pivotField subtotalTop="0" showAll="0"/>
    <pivotField subtotalTop="0" showAll="0"/>
  </pivotFields>
  <rowFields count="1">
    <field x="1"/>
  </rowFields>
  <rowItems count="2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2"/>
    </i>
    <i>
      <x v="23"/>
    </i>
    <i>
      <x v="26"/>
    </i>
    <i>
      <x v="29"/>
    </i>
    <i>
      <x v="31"/>
    </i>
    <i>
      <x v="34"/>
    </i>
    <i>
      <x v="42"/>
    </i>
    <i>
      <x v="43"/>
    </i>
    <i>
      <x v="49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Average of WeekChange" fld="4" subtotal="average" baseField="1" baseItem="1" numFmtId="10"/>
    <dataField name="Average of MonthChange" fld="5" subtotal="average" baseField="1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3" cacheId="75" applyNumberFormats="0" applyBorderFormats="0" applyFontFormats="0" applyPatternFormats="0" applyAlignmentFormats="0" applyWidthHeightFormats="1" dataCaption="Values" errorCaption="0" showError="1" updatedVersion="6" minRefreshableVersion="3" useAutoFormatting="1" rowGrandTotals="0" itemPrintTitles="1" createdVersion="6" indent="0" outline="1" outlineData="1" multipleFieldFilters="0" rowHeaderCaption="AvgVolume30 by Price">
  <location ref="A3:D92" firstHeaderRow="0" firstDataRow="1" firstDataCol="1" rowPageCount="1" colPageCount="1"/>
  <pivotFields count="9">
    <pivotField axis="axisPage" subtotalTop="0" showAll="0">
      <items count="280">
        <item x="141"/>
        <item x="11"/>
        <item x="22"/>
        <item x="25"/>
        <item x="32"/>
        <item x="0"/>
        <item x="168"/>
        <item x="135"/>
        <item x="156"/>
        <item x="237"/>
        <item x="256"/>
        <item x="96"/>
        <item x="19"/>
        <item x="213"/>
        <item x="178"/>
        <item x="31"/>
        <item x="24"/>
        <item x="103"/>
        <item x="191"/>
        <item x="133"/>
        <item x="266"/>
        <item x="221"/>
        <item x="228"/>
        <item x="43"/>
        <item x="229"/>
        <item x="253"/>
        <item x="136"/>
        <item x="10"/>
        <item x="114"/>
        <item x="230"/>
        <item x="202"/>
        <item x="151"/>
        <item x="276"/>
        <item x="108"/>
        <item x="58"/>
        <item x="249"/>
        <item x="262"/>
        <item x="66"/>
        <item x="212"/>
        <item x="76"/>
        <item x="71"/>
        <item x="143"/>
        <item x="227"/>
        <item x="121"/>
        <item x="94"/>
        <item x="188"/>
        <item x="46"/>
        <item x="149"/>
        <item x="246"/>
        <item x="216"/>
        <item x="81"/>
        <item x="50"/>
        <item x="35"/>
        <item x="144"/>
        <item x="9"/>
        <item x="70"/>
        <item x="101"/>
        <item x="125"/>
        <item x="115"/>
        <item x="51"/>
        <item x="17"/>
        <item x="75"/>
        <item x="117"/>
        <item x="68"/>
        <item x="39"/>
        <item x="198"/>
        <item x="122"/>
        <item x="236"/>
        <item x="69"/>
        <item x="73"/>
        <item x="261"/>
        <item x="177"/>
        <item x="225"/>
        <item x="145"/>
        <item x="207"/>
        <item x="86"/>
        <item x="164"/>
        <item x="181"/>
        <item x="218"/>
        <item x="84"/>
        <item x="159"/>
        <item x="233"/>
        <item x="87"/>
        <item x="265"/>
        <item x="171"/>
        <item x="67"/>
        <item x="119"/>
        <item x="118"/>
        <item x="243"/>
        <item x="206"/>
        <item x="200"/>
        <item x="152"/>
        <item x="47"/>
        <item x="234"/>
        <item x="33"/>
        <item x="224"/>
        <item x="239"/>
        <item x="45"/>
        <item x="99"/>
        <item x="88"/>
        <item x="124"/>
        <item x="254"/>
        <item x="148"/>
        <item x="26"/>
        <item x="127"/>
        <item x="187"/>
        <item x="222"/>
        <item x="104"/>
        <item x="173"/>
        <item x="214"/>
        <item x="4"/>
        <item x="208"/>
        <item x="175"/>
        <item x="150"/>
        <item x="111"/>
        <item x="275"/>
        <item x="138"/>
        <item x="255"/>
        <item x="102"/>
        <item x="161"/>
        <item x="193"/>
        <item x="264"/>
        <item x="186"/>
        <item x="15"/>
        <item x="20"/>
        <item x="137"/>
        <item x="109"/>
        <item x="183"/>
        <item x="97"/>
        <item x="146"/>
        <item x="60"/>
        <item x="204"/>
        <item x="74"/>
        <item x="130"/>
        <item x="197"/>
        <item x="199"/>
        <item x="232"/>
        <item x="95"/>
        <item x="174"/>
        <item x="155"/>
        <item x="162"/>
        <item x="226"/>
        <item x="41"/>
        <item x="271"/>
        <item x="49"/>
        <item x="40"/>
        <item x="65"/>
        <item x="5"/>
        <item x="268"/>
        <item x="267"/>
        <item x="77"/>
        <item x="269"/>
        <item x="209"/>
        <item x="30"/>
        <item x="131"/>
        <item x="61"/>
        <item x="42"/>
        <item x="3"/>
        <item x="80"/>
        <item x="52"/>
        <item x="273"/>
        <item x="219"/>
        <item x="274"/>
        <item x="134"/>
        <item x="48"/>
        <item x="82"/>
        <item x="53"/>
        <item x="1"/>
        <item x="29"/>
        <item x="244"/>
        <item x="90"/>
        <item x="190"/>
        <item x="192"/>
        <item x="2"/>
        <item x="270"/>
        <item x="245"/>
        <item x="184"/>
        <item x="170"/>
        <item x="251"/>
        <item x="38"/>
        <item x="107"/>
        <item x="217"/>
        <item x="28"/>
        <item x="91"/>
        <item x="62"/>
        <item x="189"/>
        <item x="182"/>
        <item x="7"/>
        <item x="154"/>
        <item x="147"/>
        <item x="13"/>
        <item x="92"/>
        <item x="18"/>
        <item x="113"/>
        <item x="157"/>
        <item x="180"/>
        <item x="37"/>
        <item x="120"/>
        <item x="172"/>
        <item x="93"/>
        <item x="194"/>
        <item x="54"/>
        <item x="231"/>
        <item x="27"/>
        <item x="195"/>
        <item x="85"/>
        <item x="263"/>
        <item x="142"/>
        <item x="167"/>
        <item x="160"/>
        <item x="55"/>
        <item x="140"/>
        <item x="158"/>
        <item x="223"/>
        <item x="36"/>
        <item x="64"/>
        <item x="248"/>
        <item x="258"/>
        <item x="57"/>
        <item x="215"/>
        <item x="72"/>
        <item x="166"/>
        <item x="12"/>
        <item x="185"/>
        <item x="250"/>
        <item x="211"/>
        <item x="210"/>
        <item x="176"/>
        <item x="56"/>
        <item x="257"/>
        <item x="205"/>
        <item x="163"/>
        <item x="201"/>
        <item x="100"/>
        <item x="278"/>
        <item x="153"/>
        <item x="241"/>
        <item x="110"/>
        <item x="23"/>
        <item x="242"/>
        <item x="272"/>
        <item x="44"/>
        <item x="238"/>
        <item x="21"/>
        <item x="132"/>
        <item x="6"/>
        <item x="277"/>
        <item x="14"/>
        <item x="79"/>
        <item x="63"/>
        <item x="78"/>
        <item x="196"/>
        <item x="220"/>
        <item x="98"/>
        <item x="105"/>
        <item x="259"/>
        <item x="8"/>
        <item x="203"/>
        <item x="139"/>
        <item x="128"/>
        <item x="179"/>
        <item x="89"/>
        <item x="59"/>
        <item x="112"/>
        <item x="165"/>
        <item x="260"/>
        <item x="83"/>
        <item x="247"/>
        <item x="240"/>
        <item x="106"/>
        <item x="16"/>
        <item x="252"/>
        <item x="169"/>
        <item x="126"/>
        <item x="235"/>
        <item x="34"/>
        <item x="129"/>
        <item x="123"/>
        <item x="116"/>
        <item t="default"/>
      </items>
    </pivotField>
    <pivotField axis="axisRow" numFmtId="2" subtotalTop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axis="axisRow" numFmtId="169" subtotalTop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umFmtId="10" subtotalTop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ubtotalTop="0" showAll="0"/>
    <pivotField subtotalTop="0" showAll="0"/>
    <pivotField dataField="1" subtotalTop="0" showAll="0"/>
    <pivotField dataField="1" subtotalTop="0" showAll="0"/>
    <pivotField dataField="1" subtotalTop="0" showAll="0"/>
  </pivotFields>
  <rowFields count="2">
    <field x="2"/>
    <field x="1"/>
  </rowFields>
  <rowItems count="89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2"/>
    </i>
    <i r="1">
      <x v="23"/>
    </i>
    <i r="1">
      <x v="26"/>
    </i>
    <i r="1">
      <x v="31"/>
    </i>
    <i r="1">
      <x v="43"/>
    </i>
    <i r="1">
      <x v="49"/>
    </i>
    <i t="default">
      <x v="1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t="default">
      <x v="2"/>
    </i>
    <i>
      <x v="3"/>
    </i>
    <i r="1">
      <x v="1"/>
    </i>
    <i r="1">
      <x v="2"/>
    </i>
    <i r="1">
      <x v="4"/>
    </i>
    <i r="1">
      <x v="5"/>
    </i>
    <i r="1">
      <x v="6"/>
    </i>
    <i r="1">
      <x v="13"/>
    </i>
    <i r="1">
      <x v="29"/>
    </i>
    <i r="1">
      <x v="34"/>
    </i>
    <i t="default">
      <x v="3"/>
    </i>
    <i>
      <x v="4"/>
    </i>
    <i r="1">
      <x v="1"/>
    </i>
    <i r="1">
      <x v="2"/>
    </i>
    <i r="1">
      <x v="3"/>
    </i>
    <i r="1">
      <x v="4"/>
    </i>
    <i t="default">
      <x v="4"/>
    </i>
    <i>
      <x v="5"/>
    </i>
    <i r="1">
      <x v="1"/>
    </i>
    <i r="1">
      <x v="2"/>
    </i>
    <i r="1">
      <x v="3"/>
    </i>
    <i r="1">
      <x v="4"/>
    </i>
    <i t="default">
      <x v="5"/>
    </i>
    <i>
      <x v="6"/>
    </i>
    <i r="1">
      <x v="1"/>
    </i>
    <i r="1">
      <x v="4"/>
    </i>
    <i r="1">
      <x v="19"/>
    </i>
    <i r="1">
      <x v="42"/>
    </i>
    <i t="default">
      <x v="6"/>
    </i>
    <i>
      <x v="7"/>
    </i>
    <i r="1">
      <x v="1"/>
    </i>
    <i r="1">
      <x v="2"/>
    </i>
    <i r="1">
      <x v="13"/>
    </i>
    <i t="default">
      <x v="7"/>
    </i>
    <i>
      <x v="8"/>
    </i>
    <i r="1">
      <x v="12"/>
    </i>
    <i t="default">
      <x v="8"/>
    </i>
    <i>
      <x v="10"/>
    </i>
    <i r="1">
      <x v="1"/>
    </i>
    <i t="default">
      <x v="10"/>
    </i>
    <i>
      <x v="11"/>
    </i>
    <i r="1">
      <x v="1"/>
    </i>
    <i r="1">
      <x v="2"/>
    </i>
    <i t="default">
      <x v="11"/>
    </i>
    <i>
      <x v="14"/>
    </i>
    <i r="1">
      <x v="1"/>
    </i>
    <i t="default">
      <x v="14"/>
    </i>
    <i>
      <x v="16"/>
    </i>
    <i r="1">
      <x v="26"/>
    </i>
    <i t="default">
      <x v="16"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Average of WeeklyPerf" fld="6" subtotal="average" baseField="2" baseItem="1" numFmtId="10"/>
    <dataField name="Average of MonthlyPerf" fld="7" subtotal="average" baseField="2" baseItem="1" numFmtId="10"/>
    <dataField name="Sum of YearBeta" fld="8" baseField="2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4" cacheId="75" applyNumberFormats="0" applyBorderFormats="0" applyFontFormats="0" applyPatternFormats="0" applyAlignmentFormats="0" applyWidthHeightFormats="1" dataCaption="Values" errorCaption="0" showError="1" updatedVersion="6" minRefreshableVersion="3" useAutoFormatting="1" rowGrandTotals="0" itemPrintTitles="1" createdVersion="6" indent="0" outline="1" outlineData="1" multipleFieldFilters="0" rowHeaderCaption="AvgVolatility by Price">
  <location ref="A3:D65" firstHeaderRow="0" firstDataRow="1" firstDataCol="1" rowPageCount="1" colPageCount="1"/>
  <pivotFields count="9">
    <pivotField axis="axisPage" subtotalTop="0" showAll="0">
      <items count="280">
        <item x="141"/>
        <item x="11"/>
        <item x="22"/>
        <item x="25"/>
        <item x="32"/>
        <item x="0"/>
        <item x="168"/>
        <item x="135"/>
        <item x="156"/>
        <item x="237"/>
        <item x="256"/>
        <item x="96"/>
        <item x="19"/>
        <item x="213"/>
        <item x="178"/>
        <item x="31"/>
        <item x="24"/>
        <item x="103"/>
        <item x="191"/>
        <item x="133"/>
        <item x="266"/>
        <item x="221"/>
        <item x="228"/>
        <item x="43"/>
        <item x="229"/>
        <item x="253"/>
        <item x="136"/>
        <item x="10"/>
        <item x="114"/>
        <item x="230"/>
        <item x="202"/>
        <item x="151"/>
        <item x="276"/>
        <item x="108"/>
        <item x="58"/>
        <item x="249"/>
        <item x="262"/>
        <item x="66"/>
        <item x="212"/>
        <item x="76"/>
        <item x="71"/>
        <item x="143"/>
        <item x="227"/>
        <item x="121"/>
        <item x="94"/>
        <item x="188"/>
        <item x="46"/>
        <item x="149"/>
        <item x="246"/>
        <item x="216"/>
        <item x="81"/>
        <item x="50"/>
        <item x="35"/>
        <item x="144"/>
        <item x="9"/>
        <item x="70"/>
        <item x="101"/>
        <item x="125"/>
        <item x="115"/>
        <item x="51"/>
        <item x="17"/>
        <item x="75"/>
        <item x="117"/>
        <item x="68"/>
        <item x="39"/>
        <item x="198"/>
        <item x="122"/>
        <item x="236"/>
        <item x="69"/>
        <item x="73"/>
        <item x="261"/>
        <item x="177"/>
        <item x="225"/>
        <item x="145"/>
        <item x="207"/>
        <item x="86"/>
        <item x="164"/>
        <item x="181"/>
        <item x="218"/>
        <item x="84"/>
        <item x="159"/>
        <item x="233"/>
        <item x="87"/>
        <item x="265"/>
        <item x="171"/>
        <item x="67"/>
        <item x="119"/>
        <item x="118"/>
        <item x="243"/>
        <item x="206"/>
        <item x="200"/>
        <item x="152"/>
        <item x="47"/>
        <item x="234"/>
        <item x="33"/>
        <item x="224"/>
        <item x="239"/>
        <item x="45"/>
        <item x="99"/>
        <item x="88"/>
        <item x="124"/>
        <item x="254"/>
        <item x="148"/>
        <item x="26"/>
        <item x="127"/>
        <item x="187"/>
        <item x="222"/>
        <item x="104"/>
        <item x="173"/>
        <item x="214"/>
        <item x="4"/>
        <item x="208"/>
        <item x="175"/>
        <item x="150"/>
        <item x="111"/>
        <item x="275"/>
        <item x="138"/>
        <item x="255"/>
        <item x="102"/>
        <item x="161"/>
        <item x="193"/>
        <item x="264"/>
        <item x="186"/>
        <item x="15"/>
        <item x="20"/>
        <item x="137"/>
        <item x="109"/>
        <item x="183"/>
        <item x="97"/>
        <item x="146"/>
        <item x="60"/>
        <item x="204"/>
        <item x="74"/>
        <item x="130"/>
        <item x="197"/>
        <item x="199"/>
        <item x="232"/>
        <item x="95"/>
        <item x="174"/>
        <item x="155"/>
        <item x="162"/>
        <item x="226"/>
        <item x="41"/>
        <item x="271"/>
        <item x="49"/>
        <item x="40"/>
        <item x="65"/>
        <item x="5"/>
        <item x="268"/>
        <item x="267"/>
        <item x="77"/>
        <item x="269"/>
        <item x="209"/>
        <item x="30"/>
        <item x="131"/>
        <item x="61"/>
        <item x="42"/>
        <item x="3"/>
        <item x="80"/>
        <item x="52"/>
        <item x="273"/>
        <item x="219"/>
        <item x="274"/>
        <item x="134"/>
        <item x="48"/>
        <item x="82"/>
        <item x="53"/>
        <item x="1"/>
        <item x="29"/>
        <item x="244"/>
        <item x="90"/>
        <item x="190"/>
        <item x="192"/>
        <item x="2"/>
        <item x="270"/>
        <item x="245"/>
        <item x="184"/>
        <item x="170"/>
        <item x="251"/>
        <item x="38"/>
        <item x="107"/>
        <item x="217"/>
        <item x="28"/>
        <item x="91"/>
        <item x="62"/>
        <item x="189"/>
        <item x="182"/>
        <item x="7"/>
        <item x="154"/>
        <item x="147"/>
        <item x="13"/>
        <item x="92"/>
        <item x="18"/>
        <item x="113"/>
        <item x="157"/>
        <item x="180"/>
        <item x="37"/>
        <item x="120"/>
        <item x="172"/>
        <item x="93"/>
        <item x="194"/>
        <item x="54"/>
        <item x="231"/>
        <item x="27"/>
        <item x="195"/>
        <item x="85"/>
        <item x="263"/>
        <item x="142"/>
        <item x="167"/>
        <item x="160"/>
        <item x="55"/>
        <item x="140"/>
        <item x="158"/>
        <item x="223"/>
        <item x="36"/>
        <item x="64"/>
        <item x="248"/>
        <item x="258"/>
        <item x="57"/>
        <item x="215"/>
        <item x="72"/>
        <item x="166"/>
        <item x="12"/>
        <item x="185"/>
        <item x="250"/>
        <item x="211"/>
        <item x="210"/>
        <item x="176"/>
        <item x="56"/>
        <item x="257"/>
        <item x="205"/>
        <item x="163"/>
        <item x="201"/>
        <item x="100"/>
        <item x="278"/>
        <item x="153"/>
        <item x="241"/>
        <item x="110"/>
        <item x="23"/>
        <item x="242"/>
        <item x="272"/>
        <item x="44"/>
        <item x="238"/>
        <item x="21"/>
        <item x="132"/>
        <item x="6"/>
        <item x="277"/>
        <item x="14"/>
        <item x="79"/>
        <item x="63"/>
        <item x="78"/>
        <item x="196"/>
        <item x="220"/>
        <item x="98"/>
        <item x="105"/>
        <item x="259"/>
        <item x="8"/>
        <item x="203"/>
        <item x="139"/>
        <item x="128"/>
        <item x="179"/>
        <item x="89"/>
        <item x="59"/>
        <item x="112"/>
        <item x="165"/>
        <item x="260"/>
        <item x="83"/>
        <item x="247"/>
        <item x="240"/>
        <item x="106"/>
        <item x="16"/>
        <item x="252"/>
        <item x="169"/>
        <item x="126"/>
        <item x="235"/>
        <item x="34"/>
        <item x="129"/>
        <item x="123"/>
        <item x="116"/>
        <item t="default"/>
      </items>
    </pivotField>
    <pivotField axis="axisRow" numFmtId="2" subtotalTop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umFmtId="169" subtotalTop="0" showAll="0"/>
    <pivotField axis="axisRow" numFmtId="10" subtotalTop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ubtotalTop="0" showAll="0"/>
    <pivotField subtotalTop="0" showAll="0"/>
    <pivotField dataField="1" subtotalTop="0" showAll="0"/>
    <pivotField dataField="1" subtotalTop="0" showAll="0"/>
    <pivotField dataField="1" subtotalTop="0" showAll="0"/>
  </pivotFields>
  <rowFields count="2">
    <field x="3"/>
    <field x="1"/>
  </rowFields>
  <rowItems count="62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2"/>
    </i>
    <i r="1">
      <x v="23"/>
    </i>
    <i r="1">
      <x v="26"/>
    </i>
    <i r="1">
      <x v="29"/>
    </i>
    <i r="1">
      <x v="31"/>
    </i>
    <i r="1">
      <x v="34"/>
    </i>
    <i r="1">
      <x v="42"/>
    </i>
    <i r="1">
      <x v="43"/>
    </i>
    <i r="1">
      <x v="49"/>
    </i>
    <i t="default">
      <x v="1"/>
    </i>
    <i>
      <x v="2"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19"/>
    </i>
    <i t="default">
      <x v="2"/>
    </i>
    <i>
      <x v="3"/>
    </i>
    <i r="1">
      <x v="1"/>
    </i>
    <i r="1">
      <x v="2"/>
    </i>
    <i r="1">
      <x v="4"/>
    </i>
    <i t="default">
      <x v="3"/>
    </i>
    <i>
      <x v="4"/>
    </i>
    <i r="1">
      <x v="1"/>
    </i>
    <i t="default">
      <x v="4"/>
    </i>
    <i>
      <x v="5"/>
    </i>
    <i r="1">
      <x v="1"/>
    </i>
    <i r="1">
      <x v="3"/>
    </i>
    <i t="default">
      <x v="5"/>
    </i>
    <i>
      <x v="6"/>
    </i>
    <i r="1">
      <x v="1"/>
    </i>
    <i r="1">
      <x v="2"/>
    </i>
    <i t="default">
      <x v="6"/>
    </i>
    <i>
      <x v="8"/>
    </i>
    <i r="1">
      <x v="1"/>
    </i>
    <i t="default">
      <x v="8"/>
    </i>
    <i>
      <x v="11"/>
    </i>
    <i r="1">
      <x v="1"/>
    </i>
    <i t="default">
      <x v="11"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Average of WeeklyPerf" fld="6" subtotal="average" baseField="3" baseItem="1" numFmtId="10"/>
    <dataField name="Average of MonthlyPerf" fld="7" subtotal="average" baseField="3" baseItem="1" numFmtId="10"/>
    <dataField name="Sum of YearBeta" fld="8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I280" totalsRowShown="0" dataDxfId="3">
  <autoFilter ref="A1:I280"/>
  <tableColumns count="9">
    <tableColumn id="1" name="Stock" dataDxfId="2"/>
    <tableColumn id="2" name="Price" dataDxfId="0"/>
    <tableColumn id="3" name="AvgVolume30" dataDxfId="1"/>
    <tableColumn id="4" name="AvgVolatility" dataDxfId="9"/>
    <tableColumn id="5" name="WeekChange" dataDxfId="8"/>
    <tableColumn id="6" name="MonthChange" dataDxfId="7"/>
    <tableColumn id="7" name="WeeklyPerf" dataDxfId="6"/>
    <tableColumn id="8" name="MonthlyPerf" dataDxfId="5"/>
    <tableColumn id="9" name="YearBeta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0"/>
  <sheetViews>
    <sheetView workbookViewId="0">
      <selection activeCell="L268" sqref="L268"/>
    </sheetView>
  </sheetViews>
  <sheetFormatPr defaultRowHeight="14.4" x14ac:dyDescent="0.3"/>
  <cols>
    <col min="1" max="9" width="17.77734375" customWidth="1"/>
  </cols>
  <sheetData>
    <row r="1" spans="1:9" ht="15" thickBot="1" x14ac:dyDescent="0.35">
      <c r="A1" t="s">
        <v>614</v>
      </c>
      <c r="B1" t="s">
        <v>615</v>
      </c>
      <c r="C1" t="s">
        <v>616</v>
      </c>
      <c r="D1" t="s">
        <v>617</v>
      </c>
      <c r="E1" t="s">
        <v>618</v>
      </c>
      <c r="F1" t="s">
        <v>619</v>
      </c>
      <c r="G1" t="s">
        <v>620</v>
      </c>
      <c r="H1" t="s">
        <v>621</v>
      </c>
      <c r="I1" t="s">
        <v>622</v>
      </c>
    </row>
    <row r="2" spans="1:9" ht="15" thickBot="1" x14ac:dyDescent="0.35">
      <c r="A2" s="2" t="s">
        <v>0</v>
      </c>
      <c r="B2" s="12">
        <v>482.43</v>
      </c>
      <c r="C2" s="3">
        <v>5.0039999999999996</v>
      </c>
      <c r="D2" s="4">
        <v>1.95E-2</v>
      </c>
      <c r="E2" s="5" t="s">
        <v>279</v>
      </c>
      <c r="F2" s="6">
        <v>0.1547</v>
      </c>
      <c r="G2" s="5" t="s">
        <v>280</v>
      </c>
      <c r="H2" s="6">
        <v>0.216</v>
      </c>
      <c r="I2" s="7">
        <v>2.1</v>
      </c>
    </row>
    <row r="3" spans="1:9" ht="15" thickBot="1" x14ac:dyDescent="0.35">
      <c r="A3" s="2" t="s">
        <v>1</v>
      </c>
      <c r="B3" s="12">
        <v>429.84</v>
      </c>
      <c r="C3" s="3">
        <v>7.4930000000000003</v>
      </c>
      <c r="D3" s="4">
        <v>4.7800000000000002E-2</v>
      </c>
      <c r="E3" s="8">
        <v>1.37E-2</v>
      </c>
      <c r="F3" s="8">
        <v>8.7599999999999997E-2</v>
      </c>
      <c r="G3" s="5" t="s">
        <v>281</v>
      </c>
      <c r="H3" s="6">
        <v>0.19040000000000001</v>
      </c>
      <c r="I3" s="9">
        <v>1.68</v>
      </c>
    </row>
    <row r="4" spans="1:9" ht="15" thickBot="1" x14ac:dyDescent="0.35">
      <c r="A4" s="2" t="s">
        <v>2</v>
      </c>
      <c r="B4" s="12">
        <v>411.17</v>
      </c>
      <c r="C4" s="10">
        <v>57.95</v>
      </c>
      <c r="D4" s="4">
        <v>3.3500000000000002E-2</v>
      </c>
      <c r="E4" s="5" t="s">
        <v>282</v>
      </c>
      <c r="F4" s="8">
        <v>8.6800000000000002E-2</v>
      </c>
      <c r="G4" s="11" t="s">
        <v>283</v>
      </c>
      <c r="H4" s="8">
        <v>8.5199999999999998E-2</v>
      </c>
      <c r="I4" s="9">
        <v>1.91</v>
      </c>
    </row>
    <row r="5" spans="1:9" ht="15" thickBot="1" x14ac:dyDescent="0.35">
      <c r="A5" s="2" t="s">
        <v>3</v>
      </c>
      <c r="B5" s="12">
        <v>335.85</v>
      </c>
      <c r="C5" s="10">
        <v>28.116</v>
      </c>
      <c r="D5" s="4">
        <v>1.2500000000000001E-2</v>
      </c>
      <c r="E5" s="8">
        <v>2.5000000000000001E-3</v>
      </c>
      <c r="F5" s="8">
        <v>2.2700000000000001E-2</v>
      </c>
      <c r="G5" s="5" t="s">
        <v>284</v>
      </c>
      <c r="H5" s="8">
        <v>3.6499999999999998E-2</v>
      </c>
      <c r="I5" s="9">
        <v>1.22</v>
      </c>
    </row>
    <row r="6" spans="1:9" ht="15" thickBot="1" x14ac:dyDescent="0.35">
      <c r="A6" s="2" t="s">
        <v>4</v>
      </c>
      <c r="B6" s="12">
        <v>306.51</v>
      </c>
      <c r="C6" s="3">
        <v>5.431</v>
      </c>
      <c r="D6" s="4">
        <v>2.5100000000000001E-2</v>
      </c>
      <c r="E6" s="8">
        <v>1.89E-2</v>
      </c>
      <c r="F6" s="8">
        <v>8.14E-2</v>
      </c>
      <c r="G6" s="8">
        <v>1.2E-2</v>
      </c>
      <c r="H6" s="8">
        <v>6.8000000000000005E-2</v>
      </c>
      <c r="I6" s="12">
        <v>0.98</v>
      </c>
    </row>
    <row r="7" spans="1:9" ht="15" thickBot="1" x14ac:dyDescent="0.35">
      <c r="A7" s="2" t="s">
        <v>5</v>
      </c>
      <c r="B7" s="12">
        <v>285.29000000000002</v>
      </c>
      <c r="C7" s="13">
        <v>23.024999999999999</v>
      </c>
      <c r="D7" s="4">
        <v>1.9300000000000001E-2</v>
      </c>
      <c r="E7" s="5" t="s">
        <v>285</v>
      </c>
      <c r="F7" s="8">
        <v>7.7700000000000005E-2</v>
      </c>
      <c r="G7" s="8">
        <v>6.1999999999999998E-3</v>
      </c>
      <c r="H7" s="6">
        <v>0.12790000000000001</v>
      </c>
      <c r="I7" s="9">
        <v>1.47</v>
      </c>
    </row>
    <row r="8" spans="1:9" ht="15" thickBot="1" x14ac:dyDescent="0.35">
      <c r="A8" s="2" t="s">
        <v>6</v>
      </c>
      <c r="B8" s="12">
        <v>256.24</v>
      </c>
      <c r="C8" s="10">
        <v>154.45599999999999</v>
      </c>
      <c r="D8" s="4">
        <v>4.4200000000000003E-2</v>
      </c>
      <c r="E8" s="5" t="s">
        <v>286</v>
      </c>
      <c r="F8" s="14">
        <v>0.25650000000000001</v>
      </c>
      <c r="G8" s="11" t="s">
        <v>287</v>
      </c>
      <c r="H8" s="14">
        <v>0.38790000000000002</v>
      </c>
      <c r="I8" s="9">
        <v>1.88</v>
      </c>
    </row>
    <row r="9" spans="1:9" ht="15" thickBot="1" x14ac:dyDescent="0.35">
      <c r="A9" s="2" t="s">
        <v>7</v>
      </c>
      <c r="B9" s="12">
        <v>253.41</v>
      </c>
      <c r="C9" s="3">
        <v>7.9649999999999999</v>
      </c>
      <c r="D9" s="4">
        <v>3.0599999999999999E-2</v>
      </c>
      <c r="E9" s="8">
        <v>3.8800000000000001E-2</v>
      </c>
      <c r="F9" s="6">
        <v>0.1875</v>
      </c>
      <c r="G9" s="6">
        <v>5.0500000000000003E-2</v>
      </c>
      <c r="H9" s="6">
        <v>0.2162</v>
      </c>
      <c r="I9" s="9">
        <v>1.17</v>
      </c>
    </row>
    <row r="10" spans="1:9" ht="15" thickBot="1" x14ac:dyDescent="0.35">
      <c r="A10" s="2" t="s">
        <v>8</v>
      </c>
      <c r="B10" s="12">
        <v>227.96</v>
      </c>
      <c r="C10" s="3">
        <v>7.4039999999999999</v>
      </c>
      <c r="D10" s="4">
        <v>8.9999999999999993E-3</v>
      </c>
      <c r="E10" s="5" t="s">
        <v>288</v>
      </c>
      <c r="F10" s="8">
        <v>3.1399999999999997E-2</v>
      </c>
      <c r="G10" s="8">
        <v>8.0999999999999996E-3</v>
      </c>
      <c r="H10" s="8">
        <v>1.8499999999999999E-2</v>
      </c>
      <c r="I10" s="12">
        <v>0.89</v>
      </c>
    </row>
    <row r="11" spans="1:9" ht="15" thickBot="1" x14ac:dyDescent="0.35">
      <c r="A11" s="2" t="s">
        <v>9</v>
      </c>
      <c r="B11" s="12">
        <v>212.17</v>
      </c>
      <c r="C11" s="3">
        <v>8.4239999999999995</v>
      </c>
      <c r="D11" s="4">
        <v>2.2200000000000001E-2</v>
      </c>
      <c r="E11" s="8">
        <v>9.9000000000000008E-3</v>
      </c>
      <c r="F11" s="5" t="s">
        <v>289</v>
      </c>
      <c r="G11" s="5" t="s">
        <v>290</v>
      </c>
      <c r="H11" s="5" t="s">
        <v>291</v>
      </c>
      <c r="I11" s="9">
        <v>1.81</v>
      </c>
    </row>
    <row r="12" spans="1:9" ht="15" thickBot="1" x14ac:dyDescent="0.35">
      <c r="A12" s="2" t="s">
        <v>10</v>
      </c>
      <c r="B12" s="12">
        <v>210.72</v>
      </c>
      <c r="C12" s="3">
        <v>5.62</v>
      </c>
      <c r="D12" s="4">
        <v>1.32E-2</v>
      </c>
      <c r="E12" s="8">
        <v>2.5899999999999999E-2</v>
      </c>
      <c r="F12" s="8">
        <v>2.4400000000000002E-2</v>
      </c>
      <c r="G12" s="5" t="s">
        <v>292</v>
      </c>
      <c r="H12" s="8">
        <v>4.5199999999999997E-2</v>
      </c>
      <c r="I12" s="9">
        <v>1.1100000000000001</v>
      </c>
    </row>
    <row r="13" spans="1:9" ht="15" thickBot="1" x14ac:dyDescent="0.35">
      <c r="A13" s="2" t="s">
        <v>11</v>
      </c>
      <c r="B13" s="12">
        <v>189.25</v>
      </c>
      <c r="C13" s="10">
        <v>59.786999999999999</v>
      </c>
      <c r="D13" s="4">
        <v>1.23E-2</v>
      </c>
      <c r="E13" s="8">
        <v>1.38E-2</v>
      </c>
      <c r="F13" s="8">
        <v>6.7699999999999996E-2</v>
      </c>
      <c r="G13" s="8">
        <v>2.35E-2</v>
      </c>
      <c r="H13" s="8">
        <v>9.1899999999999996E-2</v>
      </c>
      <c r="I13" s="9">
        <v>1.18</v>
      </c>
    </row>
    <row r="14" spans="1:9" ht="15" thickBot="1" x14ac:dyDescent="0.35">
      <c r="A14" s="2" t="s">
        <v>12</v>
      </c>
      <c r="B14" s="12">
        <v>183.85</v>
      </c>
      <c r="C14" s="3">
        <v>7.7389999999999999</v>
      </c>
      <c r="D14" s="15">
        <v>8.3400000000000002E-2</v>
      </c>
      <c r="E14" s="8">
        <v>3.1399999999999997E-2</v>
      </c>
      <c r="F14" s="6">
        <v>0.1118</v>
      </c>
      <c r="G14" s="8">
        <v>1.7399999999999999E-2</v>
      </c>
      <c r="H14" s="14">
        <v>0.25190000000000001</v>
      </c>
      <c r="I14" s="9">
        <v>1.58</v>
      </c>
    </row>
    <row r="15" spans="1:9" ht="15" thickBot="1" x14ac:dyDescent="0.35">
      <c r="A15" s="2" t="s">
        <v>13</v>
      </c>
      <c r="B15" s="12">
        <v>183.7</v>
      </c>
      <c r="C15" s="3">
        <v>5.1870000000000003</v>
      </c>
      <c r="D15" s="4">
        <v>1.83E-2</v>
      </c>
      <c r="E15" s="5" t="s">
        <v>293</v>
      </c>
      <c r="F15" s="8">
        <v>7.4000000000000003E-3</v>
      </c>
      <c r="G15" s="5" t="s">
        <v>294</v>
      </c>
      <c r="H15" s="5" t="s">
        <v>295</v>
      </c>
      <c r="I15" s="16">
        <v>0.28000000000000003</v>
      </c>
    </row>
    <row r="16" spans="1:9" ht="15" thickBot="1" x14ac:dyDescent="0.35">
      <c r="A16" s="2" t="s">
        <v>14</v>
      </c>
      <c r="B16" s="12">
        <v>174.96</v>
      </c>
      <c r="C16" s="3">
        <v>5.32</v>
      </c>
      <c r="D16" s="4">
        <v>1.21E-2</v>
      </c>
      <c r="E16" s="8">
        <v>4.3400000000000001E-2</v>
      </c>
      <c r="F16" s="8">
        <v>6.1999999999999998E-3</v>
      </c>
      <c r="G16" s="8">
        <v>1.43E-2</v>
      </c>
      <c r="H16" s="8">
        <v>2.12E-2</v>
      </c>
      <c r="I16" s="9">
        <v>1.1499999999999999</v>
      </c>
    </row>
    <row r="17" spans="1:9" ht="15" thickBot="1" x14ac:dyDescent="0.35">
      <c r="A17" s="2" t="s">
        <v>15</v>
      </c>
      <c r="B17" s="12">
        <v>162.96</v>
      </c>
      <c r="C17" s="3">
        <v>6.8650000000000002</v>
      </c>
      <c r="D17" s="4">
        <v>8.5000000000000006E-3</v>
      </c>
      <c r="E17" s="5" t="s">
        <v>296</v>
      </c>
      <c r="F17" s="8">
        <v>5.0900000000000001E-2</v>
      </c>
      <c r="G17" s="5" t="s">
        <v>297</v>
      </c>
      <c r="H17" s="8">
        <v>5.3499999999999999E-2</v>
      </c>
      <c r="I17" s="16">
        <v>0.16</v>
      </c>
    </row>
    <row r="18" spans="1:9" ht="15" thickBot="1" x14ac:dyDescent="0.35">
      <c r="A18" s="2" t="s">
        <v>16</v>
      </c>
      <c r="B18" s="12">
        <v>155.33000000000001</v>
      </c>
      <c r="C18" s="3">
        <v>6.7110000000000003</v>
      </c>
      <c r="D18" s="4">
        <v>7.7000000000000002E-3</v>
      </c>
      <c r="E18" s="5" t="s">
        <v>298</v>
      </c>
      <c r="F18" s="8">
        <v>5.7599999999999998E-2</v>
      </c>
      <c r="G18" s="8">
        <v>7.3000000000000001E-3</v>
      </c>
      <c r="H18" s="8">
        <v>6.6100000000000006E-2</v>
      </c>
      <c r="I18" s="12">
        <v>0.51</v>
      </c>
    </row>
    <row r="19" spans="1:9" ht="15" thickBot="1" x14ac:dyDescent="0.35">
      <c r="A19" s="2" t="s">
        <v>17</v>
      </c>
      <c r="B19" s="12">
        <v>154.91999999999999</v>
      </c>
      <c r="C19" s="3">
        <v>8.7729999999999997</v>
      </c>
      <c r="D19" s="4">
        <v>1.8599999999999998E-2</v>
      </c>
      <c r="E19" s="8">
        <v>2.3599999999999999E-2</v>
      </c>
      <c r="F19" s="8">
        <v>2.8500000000000001E-2</v>
      </c>
      <c r="G19" s="8">
        <v>1.47E-2</v>
      </c>
      <c r="H19" s="5" t="s">
        <v>299</v>
      </c>
      <c r="I19" s="16">
        <v>0.76</v>
      </c>
    </row>
    <row r="20" spans="1:9" ht="15" thickBot="1" x14ac:dyDescent="0.35">
      <c r="A20" s="2" t="s">
        <v>18</v>
      </c>
      <c r="B20" s="12">
        <v>149.99</v>
      </c>
      <c r="C20" s="3">
        <v>6.57</v>
      </c>
      <c r="D20" s="4">
        <v>1.5800000000000002E-2</v>
      </c>
      <c r="E20" s="8">
        <v>1.03E-2</v>
      </c>
      <c r="F20" s="8">
        <v>5.2600000000000001E-2</v>
      </c>
      <c r="G20" s="8">
        <v>1.17E-2</v>
      </c>
      <c r="H20" s="8">
        <v>3.2099999999999997E-2</v>
      </c>
      <c r="I20" s="12">
        <v>0.48</v>
      </c>
    </row>
    <row r="21" spans="1:9" ht="15" thickBot="1" x14ac:dyDescent="0.35">
      <c r="A21" s="2" t="s">
        <v>19</v>
      </c>
      <c r="B21" s="12">
        <v>144.03</v>
      </c>
      <c r="C21" s="3">
        <v>6.4589999999999996</v>
      </c>
      <c r="D21" s="4">
        <v>3.1699999999999999E-2</v>
      </c>
      <c r="E21" s="6">
        <v>5.8500000000000003E-2</v>
      </c>
      <c r="F21" s="8">
        <v>8.0500000000000002E-2</v>
      </c>
      <c r="G21" s="8">
        <v>3.9699999999999999E-2</v>
      </c>
      <c r="H21" s="17">
        <v>0.1014</v>
      </c>
      <c r="I21" s="9">
        <v>1.69</v>
      </c>
    </row>
    <row r="22" spans="1:9" ht="15" thickBot="1" x14ac:dyDescent="0.35">
      <c r="A22" s="2" t="s">
        <v>20</v>
      </c>
      <c r="B22" s="12">
        <v>138.59</v>
      </c>
      <c r="C22" s="3">
        <v>9.6660000000000004</v>
      </c>
      <c r="D22" s="4">
        <v>9.1000000000000004E-3</v>
      </c>
      <c r="E22" s="5" t="s">
        <v>300</v>
      </c>
      <c r="F22" s="8">
        <v>2.12E-2</v>
      </c>
      <c r="G22" s="5" t="s">
        <v>301</v>
      </c>
      <c r="H22" s="8">
        <v>1.8200000000000001E-2</v>
      </c>
      <c r="I22" s="12">
        <v>0.88</v>
      </c>
    </row>
    <row r="23" spans="1:9" ht="15" thickBot="1" x14ac:dyDescent="0.35">
      <c r="A23" s="2" t="s">
        <v>21</v>
      </c>
      <c r="B23" s="12">
        <v>136.27000000000001</v>
      </c>
      <c r="C23" s="3">
        <v>8.2230000000000008</v>
      </c>
      <c r="D23" s="4">
        <v>8.9999999999999993E-3</v>
      </c>
      <c r="E23" s="8">
        <v>2.6100000000000002E-2</v>
      </c>
      <c r="F23" s="5" t="s">
        <v>302</v>
      </c>
      <c r="G23" s="8">
        <v>4.02E-2</v>
      </c>
      <c r="H23" s="8">
        <v>7.6E-3</v>
      </c>
      <c r="I23" s="12">
        <v>0.6</v>
      </c>
    </row>
    <row r="24" spans="1:9" ht="15" thickBot="1" x14ac:dyDescent="0.35">
      <c r="A24" s="2" t="s">
        <v>22</v>
      </c>
      <c r="B24" s="12">
        <v>132.51</v>
      </c>
      <c r="C24" s="3">
        <v>6.3490000000000002</v>
      </c>
      <c r="D24" s="4">
        <v>1.6899999999999998E-2</v>
      </c>
      <c r="E24" s="5" t="s">
        <v>303</v>
      </c>
      <c r="F24" s="5" t="s">
        <v>304</v>
      </c>
      <c r="G24" s="5" t="s">
        <v>305</v>
      </c>
      <c r="H24" s="5" t="s">
        <v>306</v>
      </c>
      <c r="I24" s="12">
        <v>0.23</v>
      </c>
    </row>
    <row r="25" spans="1:9" ht="15" thickBot="1" x14ac:dyDescent="0.35">
      <c r="A25" s="2" t="s">
        <v>23</v>
      </c>
      <c r="B25" s="12">
        <v>132.47</v>
      </c>
      <c r="C25" s="3">
        <v>7.7060000000000004</v>
      </c>
      <c r="D25" s="4">
        <v>1.14E-2</v>
      </c>
      <c r="E25" s="8">
        <v>4.8999999999999998E-3</v>
      </c>
      <c r="F25" s="8">
        <v>1.18E-2</v>
      </c>
      <c r="G25" s="8">
        <v>8.0000000000000004E-4</v>
      </c>
      <c r="H25" s="5" t="s">
        <v>307</v>
      </c>
      <c r="I25" s="9">
        <v>1.31</v>
      </c>
    </row>
    <row r="26" spans="1:9" ht="15" thickBot="1" x14ac:dyDescent="0.35">
      <c r="A26" s="2" t="s">
        <v>24</v>
      </c>
      <c r="B26" s="12">
        <v>129.04</v>
      </c>
      <c r="C26" s="10">
        <v>63.85</v>
      </c>
      <c r="D26" s="4">
        <v>2.3699999999999999E-2</v>
      </c>
      <c r="E26" s="5" t="s">
        <v>308</v>
      </c>
      <c r="F26" s="8">
        <v>7.0199999999999999E-2</v>
      </c>
      <c r="G26" s="8">
        <v>2.7099999999999999E-2</v>
      </c>
      <c r="H26" s="6">
        <v>0.112</v>
      </c>
      <c r="I26" s="9">
        <v>1.52</v>
      </c>
    </row>
    <row r="27" spans="1:9" ht="15" thickBot="1" x14ac:dyDescent="0.35">
      <c r="A27" s="2" t="s">
        <v>25</v>
      </c>
      <c r="B27" s="12">
        <v>127.63</v>
      </c>
      <c r="C27" s="3">
        <v>6.1740000000000004</v>
      </c>
      <c r="D27" s="4">
        <v>4.53E-2</v>
      </c>
      <c r="E27" s="8">
        <v>2.3300000000000001E-2</v>
      </c>
      <c r="F27" s="6">
        <v>0.16270000000000001</v>
      </c>
      <c r="G27" s="8">
        <v>2.0299999999999999E-2</v>
      </c>
      <c r="H27" s="6">
        <v>0.21340000000000001</v>
      </c>
      <c r="I27" s="7">
        <v>2.0099999999999998</v>
      </c>
    </row>
    <row r="28" spans="1:9" ht="15" thickBot="1" x14ac:dyDescent="0.35">
      <c r="A28" s="2" t="s">
        <v>26</v>
      </c>
      <c r="B28" s="12">
        <v>121.08</v>
      </c>
      <c r="C28" s="10">
        <v>26.683</v>
      </c>
      <c r="D28" s="4">
        <v>3.1199999999999999E-2</v>
      </c>
      <c r="E28" s="5" t="s">
        <v>309</v>
      </c>
      <c r="F28" s="5" t="s">
        <v>310</v>
      </c>
      <c r="G28" s="5" t="s">
        <v>311</v>
      </c>
      <c r="H28" s="5" t="s">
        <v>312</v>
      </c>
      <c r="I28" s="9">
        <v>1.3</v>
      </c>
    </row>
    <row r="29" spans="1:9" ht="15" thickBot="1" x14ac:dyDescent="0.35">
      <c r="A29" s="2" t="s">
        <v>27</v>
      </c>
      <c r="B29" s="12">
        <v>117.54</v>
      </c>
      <c r="C29" s="3">
        <v>9.3580000000000005</v>
      </c>
      <c r="D29" s="4">
        <v>2.75E-2</v>
      </c>
      <c r="E29" s="8">
        <v>3.6200000000000003E-2</v>
      </c>
      <c r="F29" s="8">
        <v>3.6400000000000002E-2</v>
      </c>
      <c r="G29" s="5" t="s">
        <v>313</v>
      </c>
      <c r="H29" s="6">
        <v>0.1201</v>
      </c>
      <c r="I29" s="9">
        <v>1.45</v>
      </c>
    </row>
    <row r="30" spans="1:9" ht="15" thickBot="1" x14ac:dyDescent="0.35">
      <c r="A30" s="2" t="s">
        <v>28</v>
      </c>
      <c r="B30" s="12">
        <v>116.53</v>
      </c>
      <c r="C30" s="13">
        <v>13.961</v>
      </c>
      <c r="D30" s="4">
        <v>1.9199999999999998E-2</v>
      </c>
      <c r="E30" s="5" t="s">
        <v>314</v>
      </c>
      <c r="F30" s="6">
        <v>0.1</v>
      </c>
      <c r="G30" s="5" t="s">
        <v>315</v>
      </c>
      <c r="H30" s="6">
        <v>0.1167</v>
      </c>
      <c r="I30" s="9">
        <v>1.23</v>
      </c>
    </row>
    <row r="31" spans="1:9" ht="15" thickBot="1" x14ac:dyDescent="0.35">
      <c r="A31" s="2" t="s">
        <v>29</v>
      </c>
      <c r="B31" s="12">
        <v>113.03</v>
      </c>
      <c r="C31" s="3">
        <v>9.891</v>
      </c>
      <c r="D31" s="4">
        <v>1.4500000000000001E-2</v>
      </c>
      <c r="E31" s="8">
        <v>3.2000000000000001E-2</v>
      </c>
      <c r="F31" s="8">
        <v>7.3800000000000004E-2</v>
      </c>
      <c r="G31" s="8">
        <v>3.5700000000000003E-2</v>
      </c>
      <c r="H31" s="8">
        <v>5.6399999999999999E-2</v>
      </c>
      <c r="I31" s="9">
        <v>1.3</v>
      </c>
    </row>
    <row r="32" spans="1:9" ht="15" thickBot="1" x14ac:dyDescent="0.35">
      <c r="A32" s="2" t="s">
        <v>30</v>
      </c>
      <c r="B32" s="12">
        <v>112.44</v>
      </c>
      <c r="C32" s="3">
        <v>7.9260000000000002</v>
      </c>
      <c r="D32" s="4">
        <v>1.9199999999999998E-2</v>
      </c>
      <c r="E32" s="5" t="s">
        <v>316</v>
      </c>
      <c r="F32" s="8">
        <v>1.84E-2</v>
      </c>
      <c r="G32" s="8">
        <v>2.12E-2</v>
      </c>
      <c r="H32" s="8">
        <v>3.8999999999999998E-3</v>
      </c>
      <c r="I32" s="12">
        <v>0.06</v>
      </c>
    </row>
    <row r="33" spans="1:9" ht="15" thickBot="1" x14ac:dyDescent="0.35">
      <c r="A33" s="2" t="s">
        <v>31</v>
      </c>
      <c r="B33" s="12">
        <v>110.17</v>
      </c>
      <c r="C33" s="10">
        <v>77.730999999999995</v>
      </c>
      <c r="D33" s="4">
        <v>3.8600000000000002E-2</v>
      </c>
      <c r="E33" s="8">
        <v>1.5E-3</v>
      </c>
      <c r="F33" s="5" t="s">
        <v>317</v>
      </c>
      <c r="G33" s="11" t="s">
        <v>318</v>
      </c>
      <c r="H33" s="11" t="s">
        <v>319</v>
      </c>
      <c r="I33" s="9">
        <v>1.81</v>
      </c>
    </row>
    <row r="34" spans="1:9" ht="15" thickBot="1" x14ac:dyDescent="0.35">
      <c r="A34" s="2" t="s">
        <v>32</v>
      </c>
      <c r="B34" s="12">
        <v>107.61</v>
      </c>
      <c r="C34" s="3">
        <v>5.05</v>
      </c>
      <c r="D34" s="4">
        <v>7.4000000000000003E-3</v>
      </c>
      <c r="E34" s="5" t="s">
        <v>320</v>
      </c>
      <c r="F34" s="8">
        <v>5.5E-2</v>
      </c>
      <c r="G34" s="8">
        <v>9.2999999999999992E-3</v>
      </c>
      <c r="H34" s="8">
        <v>5.3499999999999999E-2</v>
      </c>
      <c r="I34" s="12">
        <v>0.69</v>
      </c>
    </row>
    <row r="35" spans="1:9" ht="15" thickBot="1" x14ac:dyDescent="0.35">
      <c r="A35" s="2" t="s">
        <v>33</v>
      </c>
      <c r="B35" s="12">
        <v>107.05</v>
      </c>
      <c r="C35" s="3">
        <v>5.4829999999999997</v>
      </c>
      <c r="D35" s="4">
        <v>2.3300000000000001E-2</v>
      </c>
      <c r="E35" s="8">
        <v>3.15E-2</v>
      </c>
      <c r="F35" s="8">
        <v>5.4399999999999997E-2</v>
      </c>
      <c r="G35" s="8">
        <v>3.2899999999999999E-2</v>
      </c>
      <c r="H35" s="8">
        <v>5.3699999999999998E-2</v>
      </c>
      <c r="I35" s="9">
        <v>1.18</v>
      </c>
    </row>
    <row r="36" spans="1:9" ht="15" thickBot="1" x14ac:dyDescent="0.35">
      <c r="A36" s="2" t="s">
        <v>34</v>
      </c>
      <c r="B36" s="12">
        <v>105.4</v>
      </c>
      <c r="C36" s="13">
        <v>15.358000000000001</v>
      </c>
      <c r="D36" s="4">
        <v>2.5399999999999999E-2</v>
      </c>
      <c r="E36" s="8">
        <v>2.93E-2</v>
      </c>
      <c r="F36" s="8">
        <v>3.15E-2</v>
      </c>
      <c r="G36" s="8">
        <v>2.8299999999999999E-2</v>
      </c>
      <c r="H36" s="5" t="s">
        <v>321</v>
      </c>
      <c r="I36" s="12">
        <v>0.77</v>
      </c>
    </row>
    <row r="37" spans="1:9" ht="15" thickBot="1" x14ac:dyDescent="0.35">
      <c r="A37" s="2" t="s">
        <v>35</v>
      </c>
      <c r="B37" s="12">
        <v>102.51</v>
      </c>
      <c r="C37" s="3">
        <v>6.0990000000000002</v>
      </c>
      <c r="D37" s="4">
        <v>2.76E-2</v>
      </c>
      <c r="E37" s="8">
        <v>2.0400000000000001E-2</v>
      </c>
      <c r="F37" s="8">
        <v>3.2300000000000002E-2</v>
      </c>
      <c r="G37" s="8">
        <v>7.0000000000000001E-3</v>
      </c>
      <c r="H37" s="5" t="s">
        <v>322</v>
      </c>
      <c r="I37" s="12">
        <v>0.66</v>
      </c>
    </row>
    <row r="38" spans="1:9" ht="15" thickBot="1" x14ac:dyDescent="0.35">
      <c r="A38" s="2" t="s">
        <v>36</v>
      </c>
      <c r="B38" s="12">
        <v>98.61</v>
      </c>
      <c r="C38" s="3">
        <v>7.0439999999999996</v>
      </c>
      <c r="D38" s="4">
        <v>1.46E-2</v>
      </c>
      <c r="E38" s="8">
        <v>2.7000000000000001E-3</v>
      </c>
      <c r="F38" s="8">
        <v>9.9000000000000008E-3</v>
      </c>
      <c r="G38" s="5" t="s">
        <v>323</v>
      </c>
      <c r="H38" s="5" t="s">
        <v>324</v>
      </c>
      <c r="I38" s="12">
        <v>0.72</v>
      </c>
    </row>
    <row r="39" spans="1:9" ht="15" thickBot="1" x14ac:dyDescent="0.35">
      <c r="A39" s="2" t="s">
        <v>37</v>
      </c>
      <c r="B39" s="12">
        <v>96.2</v>
      </c>
      <c r="C39" s="3">
        <v>5.0389999999999997</v>
      </c>
      <c r="D39" s="4">
        <v>1.41E-2</v>
      </c>
      <c r="E39" s="5" t="s">
        <v>325</v>
      </c>
      <c r="F39" s="8">
        <v>6.88E-2</v>
      </c>
      <c r="G39" s="8">
        <v>1.26E-2</v>
      </c>
      <c r="H39" s="8">
        <v>4.9099999999999998E-2</v>
      </c>
      <c r="I39" s="12">
        <v>0.74</v>
      </c>
    </row>
    <row r="40" spans="1:9" ht="15" thickBot="1" x14ac:dyDescent="0.35">
      <c r="A40" s="2" t="s">
        <v>38</v>
      </c>
      <c r="B40" s="12">
        <v>91.21</v>
      </c>
      <c r="C40" s="3">
        <v>7.8170000000000002</v>
      </c>
      <c r="D40" s="4">
        <v>2.4400000000000002E-2</v>
      </c>
      <c r="E40" s="8">
        <v>4.2200000000000001E-2</v>
      </c>
      <c r="F40" s="8">
        <v>9.0999999999999998E-2</v>
      </c>
      <c r="G40" s="8">
        <v>2.75E-2</v>
      </c>
      <c r="H40" s="6">
        <v>0.10059999999999999</v>
      </c>
      <c r="I40" s="9">
        <v>1.8</v>
      </c>
    </row>
    <row r="41" spans="1:9" ht="15" thickBot="1" x14ac:dyDescent="0.35">
      <c r="A41" s="2" t="s">
        <v>39</v>
      </c>
      <c r="B41" s="12">
        <v>88.83</v>
      </c>
      <c r="C41" s="13">
        <v>13.856999999999999</v>
      </c>
      <c r="D41" s="4">
        <v>9.9000000000000008E-3</v>
      </c>
      <c r="E41" s="8">
        <v>8.3000000000000001E-3</v>
      </c>
      <c r="F41" s="8">
        <v>9.9000000000000008E-3</v>
      </c>
      <c r="G41" s="5" t="s">
        <v>326</v>
      </c>
      <c r="H41" s="8">
        <v>3.8E-3</v>
      </c>
      <c r="I41" s="9">
        <v>1.32</v>
      </c>
    </row>
    <row r="42" spans="1:9" ht="15" thickBot="1" x14ac:dyDescent="0.35">
      <c r="A42" s="2" t="s">
        <v>40</v>
      </c>
      <c r="B42" s="12">
        <v>86.36</v>
      </c>
      <c r="C42" s="3">
        <v>6.1630000000000003</v>
      </c>
      <c r="D42" s="4">
        <v>1.43E-2</v>
      </c>
      <c r="E42" s="5" t="s">
        <v>327</v>
      </c>
      <c r="F42" s="8">
        <v>4.3499999999999997E-2</v>
      </c>
      <c r="G42" s="5" t="s">
        <v>328</v>
      </c>
      <c r="H42" s="8">
        <v>4.3400000000000001E-2</v>
      </c>
      <c r="I42" s="12">
        <v>0.73</v>
      </c>
    </row>
    <row r="43" spans="1:9" ht="15" thickBot="1" x14ac:dyDescent="0.35">
      <c r="A43" s="2" t="s">
        <v>41</v>
      </c>
      <c r="B43" s="12">
        <v>85.88</v>
      </c>
      <c r="C43" s="3">
        <v>5.3</v>
      </c>
      <c r="D43" s="4">
        <v>1.6E-2</v>
      </c>
      <c r="E43" s="8">
        <v>4.7699999999999999E-2</v>
      </c>
      <c r="F43" s="6">
        <v>0.1411</v>
      </c>
      <c r="G43" s="8">
        <v>2.69E-2</v>
      </c>
      <c r="H43" s="6">
        <v>0.14510000000000001</v>
      </c>
      <c r="I43" s="9">
        <v>1.41</v>
      </c>
    </row>
    <row r="44" spans="1:9" ht="15" thickBot="1" x14ac:dyDescent="0.35">
      <c r="A44" s="2" t="s">
        <v>42</v>
      </c>
      <c r="B44" s="12">
        <v>83.99</v>
      </c>
      <c r="C44" s="3">
        <v>7.1849999999999996</v>
      </c>
      <c r="D44" s="4">
        <v>1.0999999999999999E-2</v>
      </c>
      <c r="E44" s="8">
        <v>4.8999999999999998E-3</v>
      </c>
      <c r="F44" s="8">
        <v>2.7300000000000001E-2</v>
      </c>
      <c r="G44" s="5" t="s">
        <v>329</v>
      </c>
      <c r="H44" s="8">
        <v>1.23E-2</v>
      </c>
      <c r="I44" s="12">
        <v>0.97</v>
      </c>
    </row>
    <row r="45" spans="1:9" ht="15" thickBot="1" x14ac:dyDescent="0.35">
      <c r="A45" s="2" t="s">
        <v>43</v>
      </c>
      <c r="B45" s="12">
        <v>83.6</v>
      </c>
      <c r="C45" s="3">
        <v>6.58</v>
      </c>
      <c r="D45" s="4">
        <v>1.38E-2</v>
      </c>
      <c r="E45" s="8">
        <v>2.0799999999999999E-2</v>
      </c>
      <c r="F45" s="8">
        <v>4.24E-2</v>
      </c>
      <c r="G45" s="8">
        <v>2.3900000000000001E-2</v>
      </c>
      <c r="H45" s="8">
        <v>8.0799999999999997E-2</v>
      </c>
      <c r="I45" s="12">
        <v>0.38</v>
      </c>
    </row>
    <row r="46" spans="1:9" ht="15" thickBot="1" x14ac:dyDescent="0.35">
      <c r="A46" s="2" t="s">
        <v>44</v>
      </c>
      <c r="B46" s="12">
        <v>82.66</v>
      </c>
      <c r="C46" s="3">
        <v>5.524</v>
      </c>
      <c r="D46" s="4">
        <v>1.2699999999999999E-2</v>
      </c>
      <c r="E46" s="8">
        <v>7.3000000000000001E-3</v>
      </c>
      <c r="F46" s="8">
        <v>7.6399999999999996E-2</v>
      </c>
      <c r="G46" s="8">
        <v>2.4899999999999999E-2</v>
      </c>
      <c r="H46" s="8">
        <v>8.8499999999999995E-2</v>
      </c>
      <c r="I46" s="12">
        <v>0.8</v>
      </c>
    </row>
    <row r="47" spans="1:9" ht="15" thickBot="1" x14ac:dyDescent="0.35">
      <c r="A47" s="2" t="s">
        <v>45</v>
      </c>
      <c r="B47" s="12">
        <v>76.180000000000007</v>
      </c>
      <c r="C47" s="3">
        <v>5.9279999999999999</v>
      </c>
      <c r="D47" s="4">
        <v>1.29E-2</v>
      </c>
      <c r="E47" s="5" t="s">
        <v>330</v>
      </c>
      <c r="F47" s="5" t="s">
        <v>331</v>
      </c>
      <c r="G47" s="5" t="s">
        <v>332</v>
      </c>
      <c r="H47" s="5" t="s">
        <v>333</v>
      </c>
      <c r="I47" s="12">
        <v>0.54</v>
      </c>
    </row>
    <row r="48" spans="1:9" ht="15" thickBot="1" x14ac:dyDescent="0.35">
      <c r="A48" s="2" t="s">
        <v>46</v>
      </c>
      <c r="B48" s="12">
        <v>75.91</v>
      </c>
      <c r="C48" s="3">
        <v>5.4850000000000003</v>
      </c>
      <c r="D48" s="4">
        <v>1.7299999999999999E-2</v>
      </c>
      <c r="E48" s="5" t="s">
        <v>334</v>
      </c>
      <c r="F48" s="8">
        <v>2.06E-2</v>
      </c>
      <c r="G48" s="5" t="s">
        <v>335</v>
      </c>
      <c r="H48" s="5" t="s">
        <v>297</v>
      </c>
      <c r="I48" s="12">
        <v>0.33</v>
      </c>
    </row>
    <row r="49" spans="1:9" ht="15" thickBot="1" x14ac:dyDescent="0.35">
      <c r="A49" s="2" t="s">
        <v>47</v>
      </c>
      <c r="B49" s="12">
        <v>74.33</v>
      </c>
      <c r="C49" s="3">
        <v>5.7439999999999998</v>
      </c>
      <c r="D49" s="4">
        <v>2.7099999999999999E-2</v>
      </c>
      <c r="E49" s="8">
        <v>3.8300000000000001E-2</v>
      </c>
      <c r="F49" s="8">
        <v>8.7800000000000003E-2</v>
      </c>
      <c r="G49" s="8">
        <v>3.73E-2</v>
      </c>
      <c r="H49" s="6">
        <v>0.10349999999999999</v>
      </c>
      <c r="I49" s="9">
        <v>1.5</v>
      </c>
    </row>
    <row r="50" spans="1:9" ht="15" thickBot="1" x14ac:dyDescent="0.35">
      <c r="A50" s="2" t="s">
        <v>48</v>
      </c>
      <c r="B50" s="12">
        <v>73.44</v>
      </c>
      <c r="C50" s="3">
        <v>7.8319999999999999</v>
      </c>
      <c r="D50" s="4">
        <v>1.35E-2</v>
      </c>
      <c r="E50" s="5" t="s">
        <v>336</v>
      </c>
      <c r="F50" s="5" t="s">
        <v>337</v>
      </c>
      <c r="G50" s="5" t="s">
        <v>338</v>
      </c>
      <c r="H50" s="8">
        <v>4.1999999999999997E-3</v>
      </c>
      <c r="I50" s="12">
        <v>0.69</v>
      </c>
    </row>
    <row r="51" spans="1:9" ht="15" thickBot="1" x14ac:dyDescent="0.35">
      <c r="A51" s="2" t="s">
        <v>49</v>
      </c>
      <c r="B51" s="12">
        <v>73.22</v>
      </c>
      <c r="C51" s="3">
        <v>6.21</v>
      </c>
      <c r="D51" s="4">
        <v>1.6199999999999999E-2</v>
      </c>
      <c r="E51" s="8">
        <v>1.6000000000000001E-3</v>
      </c>
      <c r="F51" s="5" t="s">
        <v>339</v>
      </c>
      <c r="G51" s="5" t="s">
        <v>340</v>
      </c>
      <c r="H51" s="5" t="s">
        <v>341</v>
      </c>
      <c r="I51" s="16">
        <v>0.5</v>
      </c>
    </row>
    <row r="52" spans="1:9" ht="15" thickBot="1" x14ac:dyDescent="0.35">
      <c r="A52" s="2" t="s">
        <v>50</v>
      </c>
      <c r="B52" s="12">
        <v>70.75</v>
      </c>
      <c r="C52" s="13">
        <v>15.48</v>
      </c>
      <c r="D52" s="15">
        <v>7.6999999999999999E-2</v>
      </c>
      <c r="E52" s="6">
        <v>0.151</v>
      </c>
      <c r="F52" s="6">
        <v>0.13750000000000001</v>
      </c>
      <c r="G52" s="14">
        <v>0.20119999999999999</v>
      </c>
      <c r="H52" s="14">
        <v>0.25430000000000003</v>
      </c>
      <c r="I52" s="7">
        <v>2.98</v>
      </c>
    </row>
    <row r="53" spans="1:9" ht="15" thickBot="1" x14ac:dyDescent="0.35">
      <c r="A53" s="2" t="s">
        <v>51</v>
      </c>
      <c r="B53" s="12">
        <v>68.14</v>
      </c>
      <c r="C53" s="3">
        <v>9.2910000000000004</v>
      </c>
      <c r="D53" s="4">
        <v>1.2800000000000001E-2</v>
      </c>
      <c r="E53" s="5" t="s">
        <v>342</v>
      </c>
      <c r="F53" s="8">
        <v>1.6000000000000001E-3</v>
      </c>
      <c r="G53" s="5" t="s">
        <v>308</v>
      </c>
      <c r="H53" s="8">
        <v>1.2999999999999999E-3</v>
      </c>
      <c r="I53" s="16">
        <v>0.28000000000000003</v>
      </c>
    </row>
    <row r="54" spans="1:9" ht="15" thickBot="1" x14ac:dyDescent="0.35">
      <c r="A54" s="2" t="s">
        <v>52</v>
      </c>
      <c r="B54" s="12">
        <v>67.069999999999993</v>
      </c>
      <c r="C54" s="13">
        <v>18.763999999999999</v>
      </c>
      <c r="D54" s="4">
        <v>3.5799999999999998E-2</v>
      </c>
      <c r="E54" s="8">
        <v>2.7400000000000001E-2</v>
      </c>
      <c r="F54" s="5" t="s">
        <v>343</v>
      </c>
      <c r="G54" s="8">
        <v>4.7999999999999996E-3</v>
      </c>
      <c r="H54" s="5" t="s">
        <v>344</v>
      </c>
      <c r="I54" s="9">
        <v>1.03</v>
      </c>
    </row>
    <row r="55" spans="1:9" ht="15" thickBot="1" x14ac:dyDescent="0.35">
      <c r="A55" s="2" t="s">
        <v>53</v>
      </c>
      <c r="B55" s="12">
        <v>66.48</v>
      </c>
      <c r="C55" s="3">
        <v>5.4340000000000002</v>
      </c>
      <c r="D55" s="15">
        <v>6.0900000000000003E-2</v>
      </c>
      <c r="E55" s="8">
        <v>4.8399999999999999E-2</v>
      </c>
      <c r="F55" s="5" t="s">
        <v>345</v>
      </c>
      <c r="G55" s="5" t="s">
        <v>346</v>
      </c>
      <c r="H55" s="6">
        <v>0.151</v>
      </c>
      <c r="I55" s="7">
        <v>2.92</v>
      </c>
    </row>
    <row r="56" spans="1:9" ht="15" thickBot="1" x14ac:dyDescent="0.35">
      <c r="A56" s="2" t="s">
        <v>54</v>
      </c>
      <c r="B56" s="12">
        <v>66.03</v>
      </c>
      <c r="C56" s="13">
        <v>19.457000000000001</v>
      </c>
      <c r="D56" s="4">
        <v>1.3100000000000001E-2</v>
      </c>
      <c r="E56" s="5" t="s">
        <v>338</v>
      </c>
      <c r="F56" s="8">
        <v>6.5199999999999994E-2</v>
      </c>
      <c r="G56" s="5" t="s">
        <v>347</v>
      </c>
      <c r="H56" s="6">
        <v>0.10970000000000001</v>
      </c>
      <c r="I56" s="9">
        <v>1.64</v>
      </c>
    </row>
    <row r="57" spans="1:9" ht="15" thickBot="1" x14ac:dyDescent="0.35">
      <c r="A57" s="2" t="s">
        <v>55</v>
      </c>
      <c r="B57" s="12">
        <v>65.22</v>
      </c>
      <c r="C57" s="3">
        <v>6.5449999999999999</v>
      </c>
      <c r="D57" s="4">
        <v>4.3700000000000003E-2</v>
      </c>
      <c r="E57" s="8">
        <v>4.24E-2</v>
      </c>
      <c r="F57" s="6">
        <v>0.1206</v>
      </c>
      <c r="G57" s="5" t="s">
        <v>348</v>
      </c>
      <c r="H57" s="6">
        <v>0.19980000000000001</v>
      </c>
      <c r="I57" s="7">
        <v>2.21</v>
      </c>
    </row>
    <row r="58" spans="1:9" ht="15" thickBot="1" x14ac:dyDescent="0.35">
      <c r="A58" s="2" t="s">
        <v>56</v>
      </c>
      <c r="B58" s="12">
        <v>64.77</v>
      </c>
      <c r="C58" s="3">
        <v>9.2579999999999991</v>
      </c>
      <c r="D58" s="4">
        <v>3.5999999999999997E-2</v>
      </c>
      <c r="E58" s="8">
        <v>3.04E-2</v>
      </c>
      <c r="F58" s="8">
        <v>7.2499999999999995E-2</v>
      </c>
      <c r="G58" s="5" t="s">
        <v>349</v>
      </c>
      <c r="H58" s="8">
        <v>8.8599999999999998E-2</v>
      </c>
      <c r="I58" s="7">
        <v>2.27</v>
      </c>
    </row>
    <row r="59" spans="1:9" ht="15" thickBot="1" x14ac:dyDescent="0.35">
      <c r="A59" s="2" t="s">
        <v>57</v>
      </c>
      <c r="B59" s="12">
        <v>64.62</v>
      </c>
      <c r="C59" s="13">
        <v>14.218999999999999</v>
      </c>
      <c r="D59" s="4">
        <v>4.7600000000000003E-2</v>
      </c>
      <c r="E59" s="8">
        <v>1.2999999999999999E-2</v>
      </c>
      <c r="F59" s="6">
        <v>0.12989999999999999</v>
      </c>
      <c r="G59" s="8">
        <v>7.1999999999999998E-3</v>
      </c>
      <c r="H59" s="6">
        <v>0.11409999999999999</v>
      </c>
      <c r="I59" s="7">
        <v>2.58</v>
      </c>
    </row>
    <row r="60" spans="1:9" ht="15" thickBot="1" x14ac:dyDescent="0.35">
      <c r="A60" s="2" t="s">
        <v>58</v>
      </c>
      <c r="B60" s="12">
        <v>64.09</v>
      </c>
      <c r="C60" s="3">
        <v>8.5890000000000004</v>
      </c>
      <c r="D60" s="4">
        <v>2.9700000000000001E-2</v>
      </c>
      <c r="E60" s="5" t="s">
        <v>350</v>
      </c>
      <c r="F60" s="5" t="s">
        <v>351</v>
      </c>
      <c r="G60" s="5" t="s">
        <v>352</v>
      </c>
      <c r="H60" s="5" t="s">
        <v>281</v>
      </c>
      <c r="I60" s="12">
        <v>0.37</v>
      </c>
    </row>
    <row r="61" spans="1:9" ht="15" thickBot="1" x14ac:dyDescent="0.35">
      <c r="A61" s="2" t="s">
        <v>59</v>
      </c>
      <c r="B61" s="12">
        <v>62.5</v>
      </c>
      <c r="C61" s="3">
        <v>5.7119999999999997</v>
      </c>
      <c r="D61" s="4">
        <v>4.5999999999999999E-2</v>
      </c>
      <c r="E61" s="6">
        <v>0.09</v>
      </c>
      <c r="F61" s="14">
        <v>0.55010000000000003</v>
      </c>
      <c r="G61" s="6">
        <v>0.1056</v>
      </c>
      <c r="H61" s="14">
        <v>0.7883</v>
      </c>
      <c r="I61" s="7">
        <v>3.68</v>
      </c>
    </row>
    <row r="62" spans="1:9" ht="15" thickBot="1" x14ac:dyDescent="0.35">
      <c r="A62" s="2" t="s">
        <v>60</v>
      </c>
      <c r="B62" s="12">
        <v>60.52</v>
      </c>
      <c r="C62" s="13">
        <v>15.81</v>
      </c>
      <c r="D62" s="4">
        <v>1.14E-2</v>
      </c>
      <c r="E62" s="5" t="s">
        <v>353</v>
      </c>
      <c r="F62" s="8">
        <v>1.44E-2</v>
      </c>
      <c r="G62" s="5" t="s">
        <v>354</v>
      </c>
      <c r="H62" s="8">
        <v>1.1999999999999999E-3</v>
      </c>
      <c r="I62" s="12">
        <v>0.5</v>
      </c>
    </row>
    <row r="63" spans="1:9" ht="15" thickBot="1" x14ac:dyDescent="0.35">
      <c r="A63" s="2" t="s">
        <v>61</v>
      </c>
      <c r="B63" s="12">
        <v>60.07</v>
      </c>
      <c r="C63" s="13">
        <v>19.765999999999998</v>
      </c>
      <c r="D63" s="15">
        <v>5.0299999999999997E-2</v>
      </c>
      <c r="E63" s="8">
        <v>3.8899999999999997E-2</v>
      </c>
      <c r="F63" s="8">
        <v>2.7E-2</v>
      </c>
      <c r="G63" s="5" t="s">
        <v>355</v>
      </c>
      <c r="H63" s="8">
        <v>2.3900000000000001E-2</v>
      </c>
      <c r="I63" s="9">
        <v>1.86</v>
      </c>
    </row>
    <row r="64" spans="1:9" ht="15" thickBot="1" x14ac:dyDescent="0.35">
      <c r="A64" s="2" t="s">
        <v>62</v>
      </c>
      <c r="B64" s="12">
        <v>57.46</v>
      </c>
      <c r="C64" s="13">
        <v>11.148999999999999</v>
      </c>
      <c r="D64" s="4">
        <v>1.9800000000000002E-2</v>
      </c>
      <c r="E64" s="8">
        <v>2.4799999999999999E-2</v>
      </c>
      <c r="F64" s="5" t="s">
        <v>356</v>
      </c>
      <c r="G64" s="8">
        <v>7.4999999999999997E-3</v>
      </c>
      <c r="H64" s="5" t="s">
        <v>357</v>
      </c>
      <c r="I64" s="12">
        <v>0.66</v>
      </c>
    </row>
    <row r="65" spans="1:9" ht="15" thickBot="1" x14ac:dyDescent="0.35">
      <c r="A65" s="2" t="s">
        <v>63</v>
      </c>
      <c r="B65" s="12">
        <v>56.3</v>
      </c>
      <c r="C65" s="3">
        <v>6.1609999999999996</v>
      </c>
      <c r="D65" s="4">
        <v>2.0899999999999998E-2</v>
      </c>
      <c r="E65" s="6">
        <v>6.93E-2</v>
      </c>
      <c r="F65" s="6">
        <v>0.18609999999999999</v>
      </c>
      <c r="G65" s="6">
        <v>7.3800000000000004E-2</v>
      </c>
      <c r="H65" s="6">
        <v>0.185</v>
      </c>
      <c r="I65" s="9">
        <v>1.37</v>
      </c>
    </row>
    <row r="66" spans="1:9" ht="15" thickBot="1" x14ac:dyDescent="0.35">
      <c r="A66" s="2" t="s">
        <v>64</v>
      </c>
      <c r="B66" s="12">
        <v>55.78</v>
      </c>
      <c r="C66" s="13">
        <v>12.875</v>
      </c>
      <c r="D66" s="4">
        <v>1.4E-2</v>
      </c>
      <c r="E66" s="8">
        <v>4.9099999999999998E-2</v>
      </c>
      <c r="F66" s="8">
        <v>5.8599999999999999E-2</v>
      </c>
      <c r="G66" s="8">
        <v>3.6799999999999999E-2</v>
      </c>
      <c r="H66" s="8">
        <v>2.8799999999999999E-2</v>
      </c>
      <c r="I66" s="9">
        <v>1.04</v>
      </c>
    </row>
    <row r="67" spans="1:9" ht="15" thickBot="1" x14ac:dyDescent="0.35">
      <c r="A67" s="2" t="s">
        <v>65</v>
      </c>
      <c r="B67" s="12">
        <v>54.87</v>
      </c>
      <c r="C67" s="3">
        <v>5.8369999999999997</v>
      </c>
      <c r="D67" s="4">
        <v>1.9699999999999999E-2</v>
      </c>
      <c r="E67" s="8">
        <v>2.8899999999999999E-2</v>
      </c>
      <c r="F67" s="6">
        <v>0.1074</v>
      </c>
      <c r="G67" s="8">
        <v>7.1999999999999998E-3</v>
      </c>
      <c r="H67" s="8">
        <v>4.1200000000000001E-2</v>
      </c>
      <c r="I67" s="16">
        <v>0.89</v>
      </c>
    </row>
    <row r="68" spans="1:9" ht="15" thickBot="1" x14ac:dyDescent="0.35">
      <c r="A68" s="2" t="s">
        <v>66</v>
      </c>
      <c r="B68" s="12">
        <v>53.45</v>
      </c>
      <c r="C68" s="3">
        <v>8.0120000000000005</v>
      </c>
      <c r="D68" s="4">
        <v>1.09E-2</v>
      </c>
      <c r="E68" s="5" t="s">
        <v>358</v>
      </c>
      <c r="F68" s="8">
        <v>3.8300000000000001E-2</v>
      </c>
      <c r="G68" s="5" t="s">
        <v>355</v>
      </c>
      <c r="H68" s="8">
        <v>3.7699999999999997E-2</v>
      </c>
      <c r="I68" s="12">
        <v>0.81</v>
      </c>
    </row>
    <row r="69" spans="1:9" ht="15" thickBot="1" x14ac:dyDescent="0.35">
      <c r="A69" s="2" t="s">
        <v>67</v>
      </c>
      <c r="B69" s="12">
        <v>53.1</v>
      </c>
      <c r="C69" s="3">
        <v>5.25</v>
      </c>
      <c r="D69" s="4">
        <v>1.9E-2</v>
      </c>
      <c r="E69" s="8">
        <v>6.6E-3</v>
      </c>
      <c r="F69" s="5" t="s">
        <v>359</v>
      </c>
      <c r="G69" s="5" t="s">
        <v>360</v>
      </c>
      <c r="H69" s="5" t="s">
        <v>346</v>
      </c>
      <c r="I69" s="9">
        <v>1.65</v>
      </c>
    </row>
    <row r="70" spans="1:9" ht="15" thickBot="1" x14ac:dyDescent="0.35">
      <c r="A70" s="2" t="s">
        <v>68</v>
      </c>
      <c r="B70" s="12">
        <v>51.77</v>
      </c>
      <c r="C70" s="3">
        <v>5.45</v>
      </c>
      <c r="D70" s="4">
        <v>1.9800000000000002E-2</v>
      </c>
      <c r="E70" s="8">
        <v>1.77E-2</v>
      </c>
      <c r="F70" s="6">
        <v>0.15529999999999999</v>
      </c>
      <c r="G70" s="8">
        <v>3.7900000000000003E-2</v>
      </c>
      <c r="H70" s="8">
        <v>7.5200000000000003E-2</v>
      </c>
      <c r="I70" s="9">
        <v>1.45</v>
      </c>
    </row>
    <row r="71" spans="1:9" ht="15" thickBot="1" x14ac:dyDescent="0.35">
      <c r="A71" s="2" t="s">
        <v>69</v>
      </c>
      <c r="B71" s="12">
        <v>51.72</v>
      </c>
      <c r="C71" s="3">
        <v>5.1859999999999999</v>
      </c>
      <c r="D71" s="4">
        <v>3.3799999999999997E-2</v>
      </c>
      <c r="E71" s="8">
        <v>3.27E-2</v>
      </c>
      <c r="F71" s="5" t="s">
        <v>361</v>
      </c>
      <c r="G71" s="8">
        <v>2.7000000000000001E-3</v>
      </c>
      <c r="H71" s="5" t="s">
        <v>362</v>
      </c>
      <c r="I71" s="7">
        <v>2.36</v>
      </c>
    </row>
    <row r="72" spans="1:9" ht="15" thickBot="1" x14ac:dyDescent="0.35">
      <c r="A72" s="2" t="s">
        <v>70</v>
      </c>
      <c r="B72" s="12">
        <v>50.87</v>
      </c>
      <c r="C72" s="13">
        <v>20.347999999999999</v>
      </c>
      <c r="D72" s="4">
        <v>1.14E-2</v>
      </c>
      <c r="E72" s="8">
        <v>1.0699999999999999E-2</v>
      </c>
      <c r="F72" s="8">
        <v>2.4199999999999999E-2</v>
      </c>
      <c r="G72" s="5" t="s">
        <v>331</v>
      </c>
      <c r="H72" s="8">
        <v>3.5799999999999998E-2</v>
      </c>
      <c r="I72" s="12">
        <v>0.91</v>
      </c>
    </row>
    <row r="73" spans="1:9" ht="15" thickBot="1" x14ac:dyDescent="0.35">
      <c r="A73" s="2" t="s">
        <v>71</v>
      </c>
      <c r="B73" s="12">
        <v>49.32</v>
      </c>
      <c r="C73" s="3">
        <v>5.6340000000000003</v>
      </c>
      <c r="D73" s="4">
        <v>1.06E-2</v>
      </c>
      <c r="E73" s="8">
        <v>2.64E-2</v>
      </c>
      <c r="F73" s="6">
        <v>0.2059</v>
      </c>
      <c r="G73" s="8">
        <v>4.0899999999999999E-2</v>
      </c>
      <c r="H73" s="6">
        <v>0.18790000000000001</v>
      </c>
      <c r="I73" s="9">
        <v>1.35</v>
      </c>
    </row>
    <row r="74" spans="1:9" ht="15" thickBot="1" x14ac:dyDescent="0.35">
      <c r="A74" s="2" t="s">
        <v>72</v>
      </c>
      <c r="B74" s="12">
        <v>48.59</v>
      </c>
      <c r="C74" s="3">
        <v>9.6999999999999993</v>
      </c>
      <c r="D74" s="4">
        <v>3.27E-2</v>
      </c>
      <c r="E74" s="8">
        <v>4.2900000000000001E-2</v>
      </c>
      <c r="F74" s="6">
        <v>0.13450000000000001</v>
      </c>
      <c r="G74" s="8">
        <v>3.0499999999999999E-2</v>
      </c>
      <c r="H74" s="8">
        <v>6.3200000000000006E-2</v>
      </c>
      <c r="I74" s="9">
        <v>1.04</v>
      </c>
    </row>
    <row r="75" spans="1:9" ht="15" thickBot="1" x14ac:dyDescent="0.35">
      <c r="A75" s="2" t="s">
        <v>73</v>
      </c>
      <c r="B75" s="12">
        <v>47.69</v>
      </c>
      <c r="C75" s="3">
        <v>8.7189999999999994</v>
      </c>
      <c r="D75" s="4">
        <v>2.1600000000000001E-2</v>
      </c>
      <c r="E75" s="8">
        <v>1.15E-2</v>
      </c>
      <c r="F75" s="8">
        <v>3.4500000000000003E-2</v>
      </c>
      <c r="G75" s="5" t="s">
        <v>363</v>
      </c>
      <c r="H75" s="5" t="s">
        <v>364</v>
      </c>
      <c r="I75" s="9">
        <v>1.1499999999999999</v>
      </c>
    </row>
    <row r="76" spans="1:9" ht="15" thickBot="1" x14ac:dyDescent="0.35">
      <c r="A76" s="2" t="s">
        <v>74</v>
      </c>
      <c r="B76" s="12">
        <v>47.17</v>
      </c>
      <c r="C76" s="3">
        <v>6.3440000000000003</v>
      </c>
      <c r="D76" s="4">
        <v>1.8499999999999999E-2</v>
      </c>
      <c r="E76" s="8">
        <v>2.23E-2</v>
      </c>
      <c r="F76" s="8">
        <v>4.0599999999999997E-2</v>
      </c>
      <c r="G76" s="8">
        <v>3.0800000000000001E-2</v>
      </c>
      <c r="H76" s="5" t="s">
        <v>365</v>
      </c>
      <c r="I76" s="12">
        <v>0.48</v>
      </c>
    </row>
    <row r="77" spans="1:9" ht="15" thickBot="1" x14ac:dyDescent="0.35">
      <c r="A77" s="2" t="s">
        <v>75</v>
      </c>
      <c r="B77" s="12">
        <v>46.71</v>
      </c>
      <c r="C77" s="13">
        <v>11.454000000000001</v>
      </c>
      <c r="D77" s="4">
        <v>1.8599999999999998E-2</v>
      </c>
      <c r="E77" s="6">
        <v>8.9800000000000005E-2</v>
      </c>
      <c r="F77" s="14">
        <v>0.28570000000000001</v>
      </c>
      <c r="G77" s="6">
        <v>9.9299999999999999E-2</v>
      </c>
      <c r="H77" s="14">
        <v>0.30659999999999998</v>
      </c>
      <c r="I77" s="9">
        <v>1.27</v>
      </c>
    </row>
    <row r="78" spans="1:9" ht="15" thickBot="1" x14ac:dyDescent="0.35">
      <c r="A78" s="2" t="s">
        <v>76</v>
      </c>
      <c r="B78" s="12">
        <v>46.23</v>
      </c>
      <c r="C78" s="13">
        <v>14.747</v>
      </c>
      <c r="D78" s="4">
        <v>1.2800000000000001E-2</v>
      </c>
      <c r="E78" s="8">
        <v>4.5999999999999999E-3</v>
      </c>
      <c r="F78" s="8">
        <v>4.3099999999999999E-2</v>
      </c>
      <c r="G78" s="5" t="s">
        <v>366</v>
      </c>
      <c r="H78" s="8">
        <v>3.9800000000000002E-2</v>
      </c>
      <c r="I78" s="9">
        <v>1.1299999999999999</v>
      </c>
    </row>
    <row r="79" spans="1:9" ht="15" thickBot="1" x14ac:dyDescent="0.35">
      <c r="A79" s="2" t="s">
        <v>77</v>
      </c>
      <c r="B79" s="12">
        <v>44.5</v>
      </c>
      <c r="C79" s="3">
        <v>7.6479999999999997</v>
      </c>
      <c r="D79" s="4">
        <v>1.5699999999999999E-2</v>
      </c>
      <c r="E79" s="8">
        <v>2.4899999999999999E-2</v>
      </c>
      <c r="F79" s="8">
        <v>1.8E-3</v>
      </c>
      <c r="G79" s="8">
        <v>2.3699999999999999E-2</v>
      </c>
      <c r="H79" s="5" t="s">
        <v>367</v>
      </c>
      <c r="I79" s="16">
        <v>0.31</v>
      </c>
    </row>
    <row r="80" spans="1:9" ht="15" thickBot="1" x14ac:dyDescent="0.35">
      <c r="A80" s="2" t="s">
        <v>78</v>
      </c>
      <c r="B80" s="12">
        <v>44.24</v>
      </c>
      <c r="C80" s="13">
        <v>22.698</v>
      </c>
      <c r="D80" s="4">
        <v>4.4299999999999999E-2</v>
      </c>
      <c r="E80" s="8">
        <v>2.0799999999999999E-2</v>
      </c>
      <c r="F80" s="6">
        <v>0.16639999999999999</v>
      </c>
      <c r="G80" s="8">
        <v>4.0899999999999999E-2</v>
      </c>
      <c r="H80" s="6">
        <v>0.15690000000000001</v>
      </c>
      <c r="I80" s="9">
        <v>1.27</v>
      </c>
    </row>
    <row r="81" spans="1:9" ht="15" thickBot="1" x14ac:dyDescent="0.35">
      <c r="A81" s="2" t="s">
        <v>79</v>
      </c>
      <c r="B81" s="12">
        <v>44.12</v>
      </c>
      <c r="C81" s="13">
        <v>17.154</v>
      </c>
      <c r="D81" s="15">
        <v>6.1800000000000001E-2</v>
      </c>
      <c r="E81" s="6">
        <v>0.17749999999999999</v>
      </c>
      <c r="F81" s="14">
        <v>0.48449999999999999</v>
      </c>
      <c r="G81" s="6">
        <v>0.10630000000000001</v>
      </c>
      <c r="H81" s="14">
        <v>0.62980000000000003</v>
      </c>
      <c r="I81" s="7">
        <v>3.3</v>
      </c>
    </row>
    <row r="82" spans="1:9" ht="15" thickBot="1" x14ac:dyDescent="0.35">
      <c r="A82" s="2" t="s">
        <v>80</v>
      </c>
      <c r="B82" s="12">
        <v>41.95</v>
      </c>
      <c r="C82" s="3">
        <v>5.6710000000000003</v>
      </c>
      <c r="D82" s="4">
        <v>3.3599999999999998E-2</v>
      </c>
      <c r="E82" s="8">
        <v>1.72E-2</v>
      </c>
      <c r="F82" s="6">
        <v>0.21590000000000001</v>
      </c>
      <c r="G82" s="8">
        <v>1.9199999999999998E-2</v>
      </c>
      <c r="H82" s="6">
        <v>0.247</v>
      </c>
      <c r="I82" s="7">
        <v>2.12</v>
      </c>
    </row>
    <row r="83" spans="1:9" ht="15" thickBot="1" x14ac:dyDescent="0.35">
      <c r="A83" s="2" t="s">
        <v>81</v>
      </c>
      <c r="B83" s="12">
        <v>41.67</v>
      </c>
      <c r="C83" s="13">
        <v>19.975999999999999</v>
      </c>
      <c r="D83" s="4">
        <v>1.77E-2</v>
      </c>
      <c r="E83" s="8">
        <v>3.9399999999999998E-2</v>
      </c>
      <c r="F83" s="8">
        <v>5.8999999999999997E-2</v>
      </c>
      <c r="G83" s="8">
        <v>2.64E-2</v>
      </c>
      <c r="H83" s="8">
        <v>6.1100000000000002E-2</v>
      </c>
      <c r="I83" s="16">
        <v>0.85</v>
      </c>
    </row>
    <row r="84" spans="1:9" ht="15" thickBot="1" x14ac:dyDescent="0.35">
      <c r="A84" s="2" t="s">
        <v>82</v>
      </c>
      <c r="B84" s="12">
        <v>41.18</v>
      </c>
      <c r="C84" s="3">
        <v>8.5489999999999995</v>
      </c>
      <c r="D84" s="4">
        <v>3.2800000000000003E-2</v>
      </c>
      <c r="E84" s="5" t="s">
        <v>358</v>
      </c>
      <c r="F84" s="8">
        <v>1.55E-2</v>
      </c>
      <c r="G84" s="5" t="s">
        <v>368</v>
      </c>
      <c r="H84" s="18">
        <v>0</v>
      </c>
      <c r="I84" s="12">
        <v>0.83</v>
      </c>
    </row>
    <row r="85" spans="1:9" ht="15" thickBot="1" x14ac:dyDescent="0.35">
      <c r="A85" s="2" t="s">
        <v>83</v>
      </c>
      <c r="B85" s="12">
        <v>40.619999999999997</v>
      </c>
      <c r="C85" s="13">
        <v>19.004000000000001</v>
      </c>
      <c r="D85" s="4">
        <v>1.37E-2</v>
      </c>
      <c r="E85" s="8">
        <v>2.0000000000000001E-4</v>
      </c>
      <c r="F85" s="8">
        <v>2.0299999999999999E-2</v>
      </c>
      <c r="G85" s="5" t="s">
        <v>369</v>
      </c>
      <c r="H85" s="5" t="s">
        <v>370</v>
      </c>
      <c r="I85" s="12">
        <v>0.93</v>
      </c>
    </row>
    <row r="86" spans="1:9" ht="15" thickBot="1" x14ac:dyDescent="0.35">
      <c r="A86" s="2" t="s">
        <v>84</v>
      </c>
      <c r="B86" s="12">
        <v>40.090000000000003</v>
      </c>
      <c r="C86" s="3">
        <v>6.7649999999999997</v>
      </c>
      <c r="D86" s="4">
        <v>2.1999999999999999E-2</v>
      </c>
      <c r="E86" s="8">
        <v>5.4999999999999997E-3</v>
      </c>
      <c r="F86" s="8">
        <v>1.11E-2</v>
      </c>
      <c r="G86" s="5" t="s">
        <v>353</v>
      </c>
      <c r="H86" s="8">
        <v>1.5699999999999999E-2</v>
      </c>
      <c r="I86" s="12">
        <v>0.69</v>
      </c>
    </row>
    <row r="87" spans="1:9" ht="15" thickBot="1" x14ac:dyDescent="0.35">
      <c r="A87" s="2" t="s">
        <v>85</v>
      </c>
      <c r="B87" s="12">
        <v>40.020000000000003</v>
      </c>
      <c r="C87" s="3">
        <v>8.85</v>
      </c>
      <c r="D87" s="15">
        <v>7.85E-2</v>
      </c>
      <c r="E87" s="6">
        <v>5.7299999999999997E-2</v>
      </c>
      <c r="F87" s="5" t="s">
        <v>371</v>
      </c>
      <c r="G87" s="5" t="s">
        <v>372</v>
      </c>
      <c r="H87" s="8">
        <v>1.5699999999999999E-2</v>
      </c>
      <c r="I87" s="7">
        <v>2.0499999999999998</v>
      </c>
    </row>
    <row r="88" spans="1:9" ht="15" thickBot="1" x14ac:dyDescent="0.35">
      <c r="A88" s="2" t="s">
        <v>86</v>
      </c>
      <c r="B88" s="12">
        <v>39.75</v>
      </c>
      <c r="C88" s="3">
        <v>6.9089999999999998</v>
      </c>
      <c r="D88" s="4">
        <v>1.9400000000000001E-2</v>
      </c>
      <c r="E88" s="8">
        <v>1.4500000000000001E-2</v>
      </c>
      <c r="F88" s="6">
        <v>0.14319999999999999</v>
      </c>
      <c r="G88" s="8">
        <v>5.3E-3</v>
      </c>
      <c r="H88" s="8">
        <v>9.0499999999999997E-2</v>
      </c>
      <c r="I88" s="12">
        <v>0.75</v>
      </c>
    </row>
    <row r="89" spans="1:9" ht="15" thickBot="1" x14ac:dyDescent="0.35">
      <c r="A89" s="2" t="s">
        <v>87</v>
      </c>
      <c r="B89" s="12">
        <v>39.22</v>
      </c>
      <c r="C89" s="13">
        <v>12.509</v>
      </c>
      <c r="D89" s="4">
        <v>4.2700000000000002E-2</v>
      </c>
      <c r="E89" s="8">
        <v>2.2200000000000001E-2</v>
      </c>
      <c r="F89" s="6">
        <v>0.1421</v>
      </c>
      <c r="G89" s="8">
        <v>6.4000000000000003E-3</v>
      </c>
      <c r="H89" s="6">
        <v>0.12470000000000001</v>
      </c>
      <c r="I89" s="9">
        <v>1.73</v>
      </c>
    </row>
    <row r="90" spans="1:9" ht="15" thickBot="1" x14ac:dyDescent="0.35">
      <c r="A90" s="2" t="s">
        <v>88</v>
      </c>
      <c r="B90" s="12">
        <v>38.19</v>
      </c>
      <c r="C90" s="13">
        <v>13.789</v>
      </c>
      <c r="D90" s="4">
        <v>2.1399999999999999E-2</v>
      </c>
      <c r="E90" s="6">
        <v>5.5599999999999997E-2</v>
      </c>
      <c r="F90" s="6">
        <v>0.17829999999999999</v>
      </c>
      <c r="G90" s="8">
        <v>2.3599999999999999E-2</v>
      </c>
      <c r="H90" s="6">
        <v>0.17080000000000001</v>
      </c>
      <c r="I90" s="9">
        <v>1.62</v>
      </c>
    </row>
    <row r="91" spans="1:9" ht="15" thickBot="1" x14ac:dyDescent="0.35">
      <c r="A91" s="2" t="s">
        <v>89</v>
      </c>
      <c r="B91" s="12">
        <v>36.82</v>
      </c>
      <c r="C91" s="13">
        <v>22.138000000000002</v>
      </c>
      <c r="D91" s="4">
        <v>1.7100000000000001E-2</v>
      </c>
      <c r="E91" s="8">
        <v>3.6900000000000002E-2</v>
      </c>
      <c r="F91" s="8">
        <v>3.3399999999999999E-2</v>
      </c>
      <c r="G91" s="8">
        <v>3.1399999999999997E-2</v>
      </c>
      <c r="H91" s="8">
        <v>5.6800000000000003E-2</v>
      </c>
      <c r="I91" s="16">
        <v>0.52</v>
      </c>
    </row>
    <row r="92" spans="1:9" ht="15" thickBot="1" x14ac:dyDescent="0.35">
      <c r="A92" s="2" t="s">
        <v>90</v>
      </c>
      <c r="B92" s="12">
        <v>36.56</v>
      </c>
      <c r="C92" s="3">
        <v>6.032</v>
      </c>
      <c r="D92" s="4">
        <v>2.7799999999999998E-2</v>
      </c>
      <c r="E92" s="6">
        <v>5.3900000000000003E-2</v>
      </c>
      <c r="F92" s="8">
        <v>8.2000000000000003E-2</v>
      </c>
      <c r="G92" s="6">
        <v>9.6299999999999997E-2</v>
      </c>
      <c r="H92" s="8">
        <v>9.1999999999999998E-2</v>
      </c>
      <c r="I92" s="9">
        <v>1.05</v>
      </c>
    </row>
    <row r="93" spans="1:9" ht="15" thickBot="1" x14ac:dyDescent="0.35">
      <c r="A93" s="2" t="s">
        <v>91</v>
      </c>
      <c r="B93" s="12">
        <v>36.33</v>
      </c>
      <c r="C93" s="3">
        <v>5.1280000000000001</v>
      </c>
      <c r="D93" s="4">
        <v>2.8799999999999999E-2</v>
      </c>
      <c r="E93" s="8">
        <v>3.8899999999999997E-2</v>
      </c>
      <c r="F93" s="8">
        <v>9.8599999999999993E-2</v>
      </c>
      <c r="G93" s="5" t="s">
        <v>298</v>
      </c>
      <c r="H93" s="8">
        <v>4.07E-2</v>
      </c>
      <c r="I93" s="9">
        <v>1.0900000000000001</v>
      </c>
    </row>
    <row r="94" spans="1:9" ht="15" thickBot="1" x14ac:dyDescent="0.35">
      <c r="A94" s="2" t="s">
        <v>92</v>
      </c>
      <c r="B94" s="12">
        <v>36.29</v>
      </c>
      <c r="C94" s="10">
        <v>31.262</v>
      </c>
      <c r="D94" s="4">
        <v>1.41E-2</v>
      </c>
      <c r="E94" s="11" t="s">
        <v>373</v>
      </c>
      <c r="F94" s="5" t="s">
        <v>374</v>
      </c>
      <c r="G94" s="11" t="s">
        <v>375</v>
      </c>
      <c r="H94" s="5" t="s">
        <v>376</v>
      </c>
      <c r="I94" s="12">
        <v>0.5</v>
      </c>
    </row>
    <row r="95" spans="1:9" ht="15" thickBot="1" x14ac:dyDescent="0.35">
      <c r="A95" s="2" t="s">
        <v>93</v>
      </c>
      <c r="B95" s="12">
        <v>35.86</v>
      </c>
      <c r="C95" s="3">
        <v>5.7469999999999999</v>
      </c>
      <c r="D95" s="4">
        <v>1.66E-2</v>
      </c>
      <c r="E95" s="8">
        <v>2.9999999999999997E-4</v>
      </c>
      <c r="F95" s="14">
        <v>0.25559999999999999</v>
      </c>
      <c r="G95" s="5" t="s">
        <v>377</v>
      </c>
      <c r="H95" s="14">
        <v>0.3851</v>
      </c>
      <c r="I95" s="9">
        <v>1.22</v>
      </c>
    </row>
    <row r="96" spans="1:9" ht="15" thickBot="1" x14ac:dyDescent="0.35">
      <c r="A96" s="2" t="s">
        <v>94</v>
      </c>
      <c r="B96" s="12">
        <v>35.54</v>
      </c>
      <c r="C96" s="3">
        <v>5.2869999999999999</v>
      </c>
      <c r="D96" s="15">
        <v>6.7799999999999999E-2</v>
      </c>
      <c r="E96" s="6">
        <v>7.2700000000000001E-2</v>
      </c>
      <c r="F96" s="6">
        <v>0.1197</v>
      </c>
      <c r="G96" s="8">
        <v>4.8099999999999997E-2</v>
      </c>
      <c r="H96" s="14">
        <v>0.2747</v>
      </c>
      <c r="I96" s="7">
        <v>2.48</v>
      </c>
    </row>
    <row r="97" spans="1:9" ht="15" thickBot="1" x14ac:dyDescent="0.35">
      <c r="A97" s="2" t="s">
        <v>95</v>
      </c>
      <c r="B97" s="12">
        <v>35.47</v>
      </c>
      <c r="C97" s="3">
        <v>6.9290000000000003</v>
      </c>
      <c r="D97" s="4">
        <v>1.72E-2</v>
      </c>
      <c r="E97" s="8">
        <v>4.5400000000000003E-2</v>
      </c>
      <c r="F97" s="6">
        <v>0.1875</v>
      </c>
      <c r="G97" s="8">
        <v>2.93E-2</v>
      </c>
      <c r="H97" s="6">
        <v>0.21260000000000001</v>
      </c>
      <c r="I97" s="16">
        <v>0.94</v>
      </c>
    </row>
    <row r="98" spans="1:9" ht="15" thickBot="1" x14ac:dyDescent="0.35">
      <c r="A98" s="2" t="s">
        <v>96</v>
      </c>
      <c r="B98" s="12">
        <v>35.46</v>
      </c>
      <c r="C98" s="10">
        <v>41.127000000000002</v>
      </c>
      <c r="D98" s="19">
        <v>0.11119999999999999</v>
      </c>
      <c r="E98" s="6">
        <v>6.2E-2</v>
      </c>
      <c r="F98" s="11" t="s">
        <v>378</v>
      </c>
      <c r="G98" s="11" t="s">
        <v>379</v>
      </c>
      <c r="H98" s="6">
        <v>0.2334</v>
      </c>
      <c r="I98" s="7">
        <v>3.4</v>
      </c>
    </row>
    <row r="99" spans="1:9" ht="15" thickBot="1" x14ac:dyDescent="0.35">
      <c r="A99" s="2" t="s">
        <v>97</v>
      </c>
      <c r="B99" s="12">
        <v>35.020000000000003</v>
      </c>
      <c r="C99" s="3">
        <v>7.9829999999999997</v>
      </c>
      <c r="D99" s="4">
        <v>2.0899999999999998E-2</v>
      </c>
      <c r="E99" s="5" t="s">
        <v>380</v>
      </c>
      <c r="F99" s="5" t="s">
        <v>381</v>
      </c>
      <c r="G99" s="5" t="s">
        <v>382</v>
      </c>
      <c r="H99" s="5" t="s">
        <v>383</v>
      </c>
      <c r="I99" s="16">
        <v>0.21</v>
      </c>
    </row>
    <row r="100" spans="1:9" ht="15" thickBot="1" x14ac:dyDescent="0.35">
      <c r="A100" s="2" t="s">
        <v>98</v>
      </c>
      <c r="B100" s="12">
        <v>34.840000000000003</v>
      </c>
      <c r="C100" s="13">
        <v>11.955</v>
      </c>
      <c r="D100" s="15">
        <v>9.5500000000000002E-2</v>
      </c>
      <c r="E100" s="6">
        <v>0.15670000000000001</v>
      </c>
      <c r="F100" s="14">
        <v>0.27900000000000003</v>
      </c>
      <c r="G100" s="8">
        <v>4.4400000000000002E-2</v>
      </c>
      <c r="H100" s="14">
        <v>0.47499999999999998</v>
      </c>
      <c r="I100" s="7">
        <v>2.93</v>
      </c>
    </row>
    <row r="101" spans="1:9" ht="15" thickBot="1" x14ac:dyDescent="0.35">
      <c r="A101" s="2" t="s">
        <v>99</v>
      </c>
      <c r="B101" s="12">
        <v>34.78</v>
      </c>
      <c r="C101" s="3">
        <v>5.4640000000000004</v>
      </c>
      <c r="D101" s="4">
        <v>1.4800000000000001E-2</v>
      </c>
      <c r="E101" s="8">
        <v>2.7199999999999998E-2</v>
      </c>
      <c r="F101" s="6">
        <v>0.12889999999999999</v>
      </c>
      <c r="G101" s="8">
        <v>8.9999999999999998E-4</v>
      </c>
      <c r="H101" s="6">
        <v>0.1176</v>
      </c>
      <c r="I101" s="9">
        <v>1.1399999999999999</v>
      </c>
    </row>
    <row r="102" spans="1:9" ht="15" thickBot="1" x14ac:dyDescent="0.35">
      <c r="A102" s="2" t="s">
        <v>100</v>
      </c>
      <c r="B102" s="12">
        <v>33.85</v>
      </c>
      <c r="C102" s="3">
        <v>6.5049999999999999</v>
      </c>
      <c r="D102" s="4">
        <v>2.0799999999999999E-2</v>
      </c>
      <c r="E102" s="8">
        <v>3.5200000000000002E-2</v>
      </c>
      <c r="F102" s="8">
        <v>9.3299999999999994E-2</v>
      </c>
      <c r="G102" s="8">
        <v>3.5200000000000002E-2</v>
      </c>
      <c r="H102" s="6">
        <v>0.1235</v>
      </c>
      <c r="I102" s="9">
        <v>1.38</v>
      </c>
    </row>
    <row r="103" spans="1:9" ht="15" thickBot="1" x14ac:dyDescent="0.35">
      <c r="A103" s="2" t="s">
        <v>101</v>
      </c>
      <c r="B103" s="12">
        <v>33.590000000000003</v>
      </c>
      <c r="C103" s="13">
        <v>12.042999999999999</v>
      </c>
      <c r="D103" s="4">
        <v>7.4999999999999997E-3</v>
      </c>
      <c r="E103" s="8">
        <v>2.5999999999999999E-2</v>
      </c>
      <c r="F103" s="8">
        <v>9.5200000000000007E-2</v>
      </c>
      <c r="G103" s="8">
        <v>2.5000000000000001E-2</v>
      </c>
      <c r="H103" s="8">
        <v>8.6400000000000005E-2</v>
      </c>
      <c r="I103" s="16">
        <v>0.99</v>
      </c>
    </row>
    <row r="104" spans="1:9" ht="15" thickBot="1" x14ac:dyDescent="0.35">
      <c r="A104" s="2" t="s">
        <v>102</v>
      </c>
      <c r="B104" s="12">
        <v>33.57</v>
      </c>
      <c r="C104" s="10">
        <v>52.076000000000001</v>
      </c>
      <c r="D104" s="4">
        <v>3.2199999999999999E-2</v>
      </c>
      <c r="E104" s="8">
        <v>1.7299999999999999E-2</v>
      </c>
      <c r="F104" s="8">
        <v>6.7699999999999996E-2</v>
      </c>
      <c r="G104" s="5" t="s">
        <v>384</v>
      </c>
      <c r="H104" s="6">
        <v>0.22339999999999999</v>
      </c>
      <c r="I104" s="9">
        <v>1.34</v>
      </c>
    </row>
    <row r="105" spans="1:9" ht="15" thickBot="1" x14ac:dyDescent="0.35">
      <c r="A105" s="2" t="s">
        <v>103</v>
      </c>
      <c r="B105" s="12">
        <v>33.200000000000003</v>
      </c>
      <c r="C105" s="3">
        <v>5.6379999999999999</v>
      </c>
      <c r="D105" s="4">
        <v>3.6700000000000003E-2</v>
      </c>
      <c r="E105" s="8">
        <v>1.9E-2</v>
      </c>
      <c r="F105" s="8">
        <v>4.4699999999999997E-2</v>
      </c>
      <c r="G105" s="5" t="s">
        <v>327</v>
      </c>
      <c r="H105" s="5" t="s">
        <v>336</v>
      </c>
      <c r="I105" s="16">
        <v>0.93</v>
      </c>
    </row>
    <row r="106" spans="1:9" ht="15" thickBot="1" x14ac:dyDescent="0.35">
      <c r="A106" s="2" t="s">
        <v>104</v>
      </c>
      <c r="B106" s="12">
        <v>32.56</v>
      </c>
      <c r="C106" s="3">
        <v>9.8320000000000007</v>
      </c>
      <c r="D106" s="4">
        <v>3.32E-2</v>
      </c>
      <c r="E106" s="6">
        <v>5.4100000000000002E-2</v>
      </c>
      <c r="F106" s="6">
        <v>0.13650000000000001</v>
      </c>
      <c r="G106" s="8">
        <v>4.1300000000000003E-2</v>
      </c>
      <c r="H106" s="8">
        <v>6.3700000000000007E-2</v>
      </c>
      <c r="I106" s="9">
        <v>1.1200000000000001</v>
      </c>
    </row>
    <row r="107" spans="1:9" ht="15" thickBot="1" x14ac:dyDescent="0.35">
      <c r="A107" s="2" t="s">
        <v>105</v>
      </c>
      <c r="B107" s="12">
        <v>32.32</v>
      </c>
      <c r="C107" s="13">
        <v>15.191000000000001</v>
      </c>
      <c r="D107" s="4">
        <v>1.9400000000000001E-2</v>
      </c>
      <c r="E107" s="8">
        <v>1.38E-2</v>
      </c>
      <c r="F107" s="8">
        <v>8.09E-2</v>
      </c>
      <c r="G107" s="5" t="s">
        <v>385</v>
      </c>
      <c r="H107" s="8">
        <v>5.6899999999999999E-2</v>
      </c>
      <c r="I107" s="16">
        <v>0.93</v>
      </c>
    </row>
    <row r="108" spans="1:9" ht="15" thickBot="1" x14ac:dyDescent="0.35">
      <c r="A108" s="2" t="s">
        <v>106</v>
      </c>
      <c r="B108" s="12">
        <v>32.020000000000003</v>
      </c>
      <c r="C108" s="3">
        <v>8.1760000000000002</v>
      </c>
      <c r="D108" s="4">
        <v>2.6700000000000002E-2</v>
      </c>
      <c r="E108" s="8">
        <v>4.6699999999999998E-2</v>
      </c>
      <c r="F108" s="6">
        <v>0.1172</v>
      </c>
      <c r="G108" s="8">
        <v>4.8500000000000001E-2</v>
      </c>
      <c r="H108" s="8">
        <v>9.8500000000000004E-2</v>
      </c>
      <c r="I108" s="12">
        <v>0.75</v>
      </c>
    </row>
    <row r="109" spans="1:9" ht="15" thickBot="1" x14ac:dyDescent="0.35">
      <c r="A109" s="2" t="s">
        <v>107</v>
      </c>
      <c r="B109" s="12">
        <v>31.98</v>
      </c>
      <c r="C109" s="3">
        <v>5.133</v>
      </c>
      <c r="D109" s="4">
        <v>3.6600000000000001E-2</v>
      </c>
      <c r="E109" s="6">
        <v>7.46E-2</v>
      </c>
      <c r="F109" s="6">
        <v>0.16500000000000001</v>
      </c>
      <c r="G109" s="6">
        <v>8.2199999999999995E-2</v>
      </c>
      <c r="H109" s="6">
        <v>0.18579999999999999</v>
      </c>
      <c r="I109" s="7">
        <v>2.02</v>
      </c>
    </row>
    <row r="110" spans="1:9" ht="15" thickBot="1" x14ac:dyDescent="0.35">
      <c r="A110" s="2" t="s">
        <v>108</v>
      </c>
      <c r="B110" s="12">
        <v>31.13</v>
      </c>
      <c r="C110" s="3">
        <v>7.0979999999999999</v>
      </c>
      <c r="D110" s="4">
        <v>2.81E-2</v>
      </c>
      <c r="E110" s="8">
        <v>4.5699999999999998E-2</v>
      </c>
      <c r="F110" s="6">
        <v>0.1424</v>
      </c>
      <c r="G110" s="6">
        <v>5.28E-2</v>
      </c>
      <c r="H110" s="6">
        <v>0.1138</v>
      </c>
      <c r="I110" s="9">
        <v>1.07</v>
      </c>
    </row>
    <row r="111" spans="1:9" ht="15" thickBot="1" x14ac:dyDescent="0.35">
      <c r="A111" s="2" t="s">
        <v>109</v>
      </c>
      <c r="B111" s="12">
        <v>30.9</v>
      </c>
      <c r="C111" s="3">
        <v>9.6120000000000001</v>
      </c>
      <c r="D111" s="4">
        <v>1.7600000000000001E-2</v>
      </c>
      <c r="E111" s="5" t="s">
        <v>313</v>
      </c>
      <c r="F111" s="5" t="s">
        <v>302</v>
      </c>
      <c r="G111" s="5" t="s">
        <v>386</v>
      </c>
      <c r="H111" s="5" t="s">
        <v>387</v>
      </c>
      <c r="I111" s="16">
        <v>0.49</v>
      </c>
    </row>
    <row r="112" spans="1:9" ht="15" thickBot="1" x14ac:dyDescent="0.35">
      <c r="A112" s="2" t="s">
        <v>110</v>
      </c>
      <c r="B112" s="12">
        <v>30.47</v>
      </c>
      <c r="C112" s="13">
        <v>12.276</v>
      </c>
      <c r="D112" s="4">
        <v>1.55E-2</v>
      </c>
      <c r="E112" s="8">
        <v>1.5699999999999999E-2</v>
      </c>
      <c r="F112" s="18">
        <v>0</v>
      </c>
      <c r="G112" s="5" t="s">
        <v>388</v>
      </c>
      <c r="H112" s="5" t="s">
        <v>325</v>
      </c>
      <c r="I112" s="9">
        <v>1.19</v>
      </c>
    </row>
    <row r="113" spans="1:9" ht="15" thickBot="1" x14ac:dyDescent="0.35">
      <c r="A113" s="2" t="s">
        <v>111</v>
      </c>
      <c r="B113" s="12">
        <v>29.94</v>
      </c>
      <c r="C113" s="3">
        <v>9.2080000000000002</v>
      </c>
      <c r="D113" s="4">
        <v>1.34E-2</v>
      </c>
      <c r="E113" s="8">
        <v>1.11E-2</v>
      </c>
      <c r="F113" s="8">
        <v>3.0300000000000001E-2</v>
      </c>
      <c r="G113" s="5" t="s">
        <v>389</v>
      </c>
      <c r="H113" s="5" t="s">
        <v>390</v>
      </c>
      <c r="I113" s="9">
        <v>1.22</v>
      </c>
    </row>
    <row r="114" spans="1:9" ht="15" thickBot="1" x14ac:dyDescent="0.35">
      <c r="A114" s="2" t="s">
        <v>112</v>
      </c>
      <c r="B114" s="12">
        <v>29.08</v>
      </c>
      <c r="C114" s="3">
        <v>9.7439999999999998</v>
      </c>
      <c r="D114" s="4">
        <v>3.1199999999999999E-2</v>
      </c>
      <c r="E114" s="11" t="s">
        <v>391</v>
      </c>
      <c r="F114" s="5" t="s">
        <v>392</v>
      </c>
      <c r="G114" s="11" t="s">
        <v>393</v>
      </c>
      <c r="H114" s="5" t="s">
        <v>394</v>
      </c>
      <c r="I114" s="9">
        <v>1.1000000000000001</v>
      </c>
    </row>
    <row r="115" spans="1:9" ht="15" thickBot="1" x14ac:dyDescent="0.35">
      <c r="A115" s="2" t="s">
        <v>113</v>
      </c>
      <c r="B115" s="12">
        <v>28.14</v>
      </c>
      <c r="C115" s="13">
        <v>11.179</v>
      </c>
      <c r="D115" s="15">
        <v>7.1400000000000005E-2</v>
      </c>
      <c r="E115" s="6">
        <v>7.2400000000000006E-2</v>
      </c>
      <c r="F115" s="6">
        <v>0.1754</v>
      </c>
      <c r="G115" s="6">
        <v>0.1202</v>
      </c>
      <c r="H115" s="6">
        <v>0.18329999999999999</v>
      </c>
      <c r="I115" s="9">
        <v>1.41</v>
      </c>
    </row>
    <row r="116" spans="1:9" ht="15" thickBot="1" x14ac:dyDescent="0.35">
      <c r="A116" s="2" t="s">
        <v>114</v>
      </c>
      <c r="B116" s="12">
        <v>28.07</v>
      </c>
      <c r="C116" s="10">
        <v>46.356999999999999</v>
      </c>
      <c r="D116" s="4">
        <v>1.3299999999999999E-2</v>
      </c>
      <c r="E116" s="8">
        <v>1.15E-2</v>
      </c>
      <c r="F116" s="8">
        <v>1.01E-2</v>
      </c>
      <c r="G116" s="5" t="s">
        <v>395</v>
      </c>
      <c r="H116" s="5" t="s">
        <v>396</v>
      </c>
      <c r="I116" s="9">
        <v>1.1599999999999999</v>
      </c>
    </row>
    <row r="117" spans="1:9" ht="15" thickBot="1" x14ac:dyDescent="0.35">
      <c r="A117" s="2" t="s">
        <v>115</v>
      </c>
      <c r="B117" s="12">
        <v>28.03</v>
      </c>
      <c r="C117" s="10">
        <v>31.925999999999998</v>
      </c>
      <c r="D117" s="19">
        <v>0.2001</v>
      </c>
      <c r="E117" s="14">
        <v>0.30919999999999997</v>
      </c>
      <c r="F117" s="14">
        <v>1.1695</v>
      </c>
      <c r="G117" s="6">
        <v>0.1807</v>
      </c>
      <c r="H117" s="14">
        <v>1.5739000000000001</v>
      </c>
      <c r="I117" s="7">
        <v>5.83</v>
      </c>
    </row>
    <row r="118" spans="1:9" ht="15" thickBot="1" x14ac:dyDescent="0.35">
      <c r="A118" s="2" t="s">
        <v>116</v>
      </c>
      <c r="B118" s="12">
        <v>27.09</v>
      </c>
      <c r="C118" s="3">
        <v>5.1040000000000001</v>
      </c>
      <c r="D118" s="4">
        <v>2.81E-2</v>
      </c>
      <c r="E118" s="8">
        <v>1.84E-2</v>
      </c>
      <c r="F118" s="5" t="s">
        <v>397</v>
      </c>
      <c r="G118" s="5" t="s">
        <v>398</v>
      </c>
      <c r="H118" s="5" t="s">
        <v>399</v>
      </c>
      <c r="I118" s="9">
        <v>1.28</v>
      </c>
    </row>
    <row r="119" spans="1:9" ht="15" thickBot="1" x14ac:dyDescent="0.35">
      <c r="A119" s="2" t="s">
        <v>117</v>
      </c>
      <c r="B119" s="12">
        <v>26.72</v>
      </c>
      <c r="C119" s="3">
        <v>5.585</v>
      </c>
      <c r="D119" s="4">
        <v>2.5700000000000001E-2</v>
      </c>
      <c r="E119" s="8">
        <v>1.4800000000000001E-2</v>
      </c>
      <c r="F119" s="6">
        <v>0.16070000000000001</v>
      </c>
      <c r="G119" s="8">
        <v>3.0099999999999998E-2</v>
      </c>
      <c r="H119" s="6">
        <v>0.18540000000000001</v>
      </c>
      <c r="I119" s="9">
        <v>1.21</v>
      </c>
    </row>
    <row r="120" spans="1:9" ht="15" thickBot="1" x14ac:dyDescent="0.35">
      <c r="A120" s="2" t="s">
        <v>118</v>
      </c>
      <c r="B120" s="12">
        <v>26.35</v>
      </c>
      <c r="C120" s="3">
        <v>5.532</v>
      </c>
      <c r="D120" s="4">
        <v>2.0400000000000001E-2</v>
      </c>
      <c r="E120" s="8">
        <v>1.6199999999999999E-2</v>
      </c>
      <c r="F120" s="8">
        <v>4.07E-2</v>
      </c>
      <c r="G120" s="5" t="s">
        <v>313</v>
      </c>
      <c r="H120" s="8">
        <v>2.69E-2</v>
      </c>
      <c r="I120" s="9">
        <v>1.05</v>
      </c>
    </row>
    <row r="121" spans="1:9" ht="15" thickBot="1" x14ac:dyDescent="0.35">
      <c r="A121" s="2" t="s">
        <v>119</v>
      </c>
      <c r="B121" s="12">
        <v>26.33</v>
      </c>
      <c r="C121" s="3">
        <v>6.3019999999999996</v>
      </c>
      <c r="D121" s="4">
        <v>2.69E-2</v>
      </c>
      <c r="E121" s="8">
        <v>3.09E-2</v>
      </c>
      <c r="F121" s="8">
        <v>8.4900000000000003E-2</v>
      </c>
      <c r="G121" s="5" t="s">
        <v>400</v>
      </c>
      <c r="H121" s="8">
        <v>5.11E-2</v>
      </c>
      <c r="I121" s="9">
        <v>1.1100000000000001</v>
      </c>
    </row>
    <row r="122" spans="1:9" ht="15" thickBot="1" x14ac:dyDescent="0.35">
      <c r="A122" s="2" t="s">
        <v>120</v>
      </c>
      <c r="B122" s="12">
        <v>26.2</v>
      </c>
      <c r="C122" s="3">
        <v>5.0919999999999996</v>
      </c>
      <c r="D122" s="4">
        <v>1.95E-2</v>
      </c>
      <c r="E122" s="5" t="s">
        <v>370</v>
      </c>
      <c r="F122" s="18">
        <v>0</v>
      </c>
      <c r="G122" s="5" t="s">
        <v>401</v>
      </c>
      <c r="H122" s="8">
        <v>8.0999999999999996E-3</v>
      </c>
      <c r="I122" s="12">
        <v>0.67</v>
      </c>
    </row>
    <row r="123" spans="1:9" ht="15" thickBot="1" x14ac:dyDescent="0.35">
      <c r="A123" s="2" t="s">
        <v>121</v>
      </c>
      <c r="B123" s="12">
        <v>25.66</v>
      </c>
      <c r="C123" s="3">
        <v>6.9569999999999999</v>
      </c>
      <c r="D123" s="4">
        <v>3.49E-2</v>
      </c>
      <c r="E123" s="8">
        <v>7.4999999999999997E-3</v>
      </c>
      <c r="F123" s="5" t="s">
        <v>279</v>
      </c>
      <c r="G123" s="11" t="s">
        <v>402</v>
      </c>
      <c r="H123" s="5" t="s">
        <v>403</v>
      </c>
      <c r="I123" s="9">
        <v>1.17</v>
      </c>
    </row>
    <row r="124" spans="1:9" ht="15" thickBot="1" x14ac:dyDescent="0.35">
      <c r="A124" s="2" t="s">
        <v>122</v>
      </c>
      <c r="B124" s="12">
        <v>25.66</v>
      </c>
      <c r="C124" s="13">
        <v>11.465</v>
      </c>
      <c r="D124" s="4">
        <v>2.6599999999999999E-2</v>
      </c>
      <c r="E124" s="8">
        <v>2.52E-2</v>
      </c>
      <c r="F124" s="8">
        <v>9.9400000000000002E-2</v>
      </c>
      <c r="G124" s="8">
        <v>4.1000000000000002E-2</v>
      </c>
      <c r="H124" s="8">
        <v>8.1799999999999998E-2</v>
      </c>
      <c r="I124" s="7">
        <v>2.87</v>
      </c>
    </row>
    <row r="125" spans="1:9" ht="15" thickBot="1" x14ac:dyDescent="0.35">
      <c r="A125" s="2" t="s">
        <v>123</v>
      </c>
      <c r="B125" s="12">
        <v>25.61</v>
      </c>
      <c r="C125" s="3">
        <v>7.5019999999999998</v>
      </c>
      <c r="D125" s="15">
        <v>6.2100000000000002E-2</v>
      </c>
      <c r="E125" s="6">
        <v>6.7500000000000004E-2</v>
      </c>
      <c r="F125" s="8">
        <v>3.56E-2</v>
      </c>
      <c r="G125" s="5" t="s">
        <v>404</v>
      </c>
      <c r="H125" s="6">
        <v>0.1087</v>
      </c>
      <c r="I125" s="7">
        <v>2.1</v>
      </c>
    </row>
    <row r="126" spans="1:9" ht="15" thickBot="1" x14ac:dyDescent="0.35">
      <c r="A126" s="2" t="s">
        <v>124</v>
      </c>
      <c r="B126" s="12">
        <v>24.98</v>
      </c>
      <c r="C126" s="3">
        <v>5.367</v>
      </c>
      <c r="D126" s="15">
        <v>7.2599999999999998E-2</v>
      </c>
      <c r="E126" s="6">
        <v>5.3999999999999999E-2</v>
      </c>
      <c r="F126" s="8">
        <v>3.8699999999999998E-2</v>
      </c>
      <c r="G126" s="8">
        <v>5.5999999999999999E-3</v>
      </c>
      <c r="H126" s="8">
        <v>6.4299999999999996E-2</v>
      </c>
      <c r="I126" s="9">
        <v>1.8</v>
      </c>
    </row>
    <row r="127" spans="1:9" ht="15" thickBot="1" x14ac:dyDescent="0.35">
      <c r="A127" s="2" t="s">
        <v>125</v>
      </c>
      <c r="B127" s="12">
        <v>24.47</v>
      </c>
      <c r="C127" s="3">
        <v>8.0030000000000001</v>
      </c>
      <c r="D127" s="4">
        <v>1.8200000000000001E-2</v>
      </c>
      <c r="E127" s="8">
        <v>3.1600000000000003E-2</v>
      </c>
      <c r="F127" s="8">
        <v>5.2499999999999998E-2</v>
      </c>
      <c r="G127" s="5" t="s">
        <v>405</v>
      </c>
      <c r="H127" s="5" t="s">
        <v>406</v>
      </c>
      <c r="I127" s="12">
        <v>0.7</v>
      </c>
    </row>
    <row r="128" spans="1:9" ht="15" thickBot="1" x14ac:dyDescent="0.35">
      <c r="A128" s="2" t="s">
        <v>126</v>
      </c>
      <c r="B128" s="12">
        <v>24.45</v>
      </c>
      <c r="C128" s="3">
        <v>6.8579999999999997</v>
      </c>
      <c r="D128" s="4">
        <v>0.03</v>
      </c>
      <c r="E128" s="8">
        <v>4.8000000000000001E-2</v>
      </c>
      <c r="F128" s="6">
        <v>0.16869999999999999</v>
      </c>
      <c r="G128" s="8">
        <v>4.9399999999999999E-2</v>
      </c>
      <c r="H128" s="6">
        <v>0.1221</v>
      </c>
      <c r="I128" s="7">
        <v>2.15</v>
      </c>
    </row>
    <row r="129" spans="1:9" ht="15" thickBot="1" x14ac:dyDescent="0.35">
      <c r="A129" s="2" t="s">
        <v>127</v>
      </c>
      <c r="B129" s="12">
        <v>24.02</v>
      </c>
      <c r="C129" s="3">
        <v>5.3659999999999997</v>
      </c>
      <c r="D129" s="4">
        <v>2.3199999999999998E-2</v>
      </c>
      <c r="E129" s="8">
        <v>1.78E-2</v>
      </c>
      <c r="F129" s="8">
        <v>5.0000000000000001E-3</v>
      </c>
      <c r="G129" s="5" t="s">
        <v>332</v>
      </c>
      <c r="H129" s="5" t="s">
        <v>407</v>
      </c>
      <c r="I129" s="12">
        <v>0.69</v>
      </c>
    </row>
    <row r="130" spans="1:9" ht="15" thickBot="1" x14ac:dyDescent="0.35">
      <c r="A130" s="2" t="s">
        <v>128</v>
      </c>
      <c r="B130" s="12">
        <v>23.35</v>
      </c>
      <c r="C130" s="3">
        <v>6.1879999999999997</v>
      </c>
      <c r="D130" s="4">
        <v>3.1600000000000003E-2</v>
      </c>
      <c r="E130" s="5" t="s">
        <v>408</v>
      </c>
      <c r="F130" s="6">
        <v>0.20979999999999999</v>
      </c>
      <c r="G130" s="8">
        <v>1.4800000000000001E-2</v>
      </c>
      <c r="H130" s="6">
        <v>0.24729999999999999</v>
      </c>
      <c r="I130" s="7">
        <v>2.66</v>
      </c>
    </row>
    <row r="131" spans="1:9" ht="15" thickBot="1" x14ac:dyDescent="0.35">
      <c r="A131" s="2" t="s">
        <v>129</v>
      </c>
      <c r="B131" s="12">
        <v>22.62</v>
      </c>
      <c r="C131" s="3">
        <v>7.7869999999999999</v>
      </c>
      <c r="D131" s="4">
        <v>2.93E-2</v>
      </c>
      <c r="E131" s="5" t="s">
        <v>409</v>
      </c>
      <c r="F131" s="14">
        <v>0.28160000000000002</v>
      </c>
      <c r="G131" s="5" t="s">
        <v>347</v>
      </c>
      <c r="H131" s="6">
        <v>0.22070000000000001</v>
      </c>
      <c r="I131" s="12">
        <v>0.98</v>
      </c>
    </row>
    <row r="132" spans="1:9" ht="15" thickBot="1" x14ac:dyDescent="0.35">
      <c r="A132" s="2" t="s">
        <v>130</v>
      </c>
      <c r="B132" s="12">
        <v>22.58</v>
      </c>
      <c r="C132" s="3">
        <v>6.7430000000000003</v>
      </c>
      <c r="D132" s="4">
        <v>2.58E-2</v>
      </c>
      <c r="E132" s="6">
        <v>5.2699999999999997E-2</v>
      </c>
      <c r="F132" s="6">
        <v>0.23250000000000001</v>
      </c>
      <c r="G132" s="8">
        <v>8.5000000000000006E-3</v>
      </c>
      <c r="H132" s="6">
        <v>0.14099999999999999</v>
      </c>
      <c r="I132" s="9">
        <v>1.92</v>
      </c>
    </row>
    <row r="133" spans="1:9" ht="15" thickBot="1" x14ac:dyDescent="0.35">
      <c r="A133" s="2" t="s">
        <v>131</v>
      </c>
      <c r="B133" s="12">
        <v>22.34</v>
      </c>
      <c r="C133" s="13">
        <v>12.44</v>
      </c>
      <c r="D133" s="4">
        <v>2.24E-2</v>
      </c>
      <c r="E133" s="8">
        <v>1.78E-2</v>
      </c>
      <c r="F133" s="8">
        <v>8.0999999999999996E-3</v>
      </c>
      <c r="G133" s="5" t="s">
        <v>404</v>
      </c>
      <c r="H133" s="5" t="s">
        <v>410</v>
      </c>
      <c r="I133" s="9">
        <v>1.03</v>
      </c>
    </row>
    <row r="134" spans="1:9" ht="15" thickBot="1" x14ac:dyDescent="0.35">
      <c r="A134" s="2" t="s">
        <v>132</v>
      </c>
      <c r="B134" s="12">
        <v>22.32</v>
      </c>
      <c r="C134" s="3">
        <v>7.1550000000000002</v>
      </c>
      <c r="D134" s="4">
        <v>3.9E-2</v>
      </c>
      <c r="E134" s="8">
        <v>3.6200000000000003E-2</v>
      </c>
      <c r="F134" s="8">
        <v>6.4399999999999999E-2</v>
      </c>
      <c r="G134" s="8">
        <v>4.2999999999999997E-2</v>
      </c>
      <c r="H134" s="8">
        <v>4.1500000000000002E-2</v>
      </c>
      <c r="I134" s="7">
        <v>2</v>
      </c>
    </row>
    <row r="135" spans="1:9" ht="15" thickBot="1" x14ac:dyDescent="0.35">
      <c r="A135" s="2" t="s">
        <v>133</v>
      </c>
      <c r="B135" s="12">
        <v>22.12</v>
      </c>
      <c r="C135" s="3">
        <v>6.1580000000000004</v>
      </c>
      <c r="D135" s="4">
        <v>3.4299999999999997E-2</v>
      </c>
      <c r="E135" s="8">
        <v>4.0500000000000001E-2</v>
      </c>
      <c r="F135" s="8">
        <v>8.3799999999999999E-2</v>
      </c>
      <c r="G135" s="8">
        <v>2.7400000000000001E-2</v>
      </c>
      <c r="H135" s="5" t="s">
        <v>280</v>
      </c>
      <c r="I135" s="9">
        <v>1.04</v>
      </c>
    </row>
    <row r="136" spans="1:9" ht="15" thickBot="1" x14ac:dyDescent="0.35">
      <c r="A136" s="2" t="s">
        <v>134</v>
      </c>
      <c r="B136" s="12">
        <v>21.07</v>
      </c>
      <c r="C136" s="13">
        <v>15.163</v>
      </c>
      <c r="D136" s="15">
        <v>9.01E-2</v>
      </c>
      <c r="E136" s="6">
        <v>8.6099999999999996E-2</v>
      </c>
      <c r="F136" s="14">
        <v>0.41889999999999999</v>
      </c>
      <c r="G136" s="6">
        <v>9.5699999999999993E-2</v>
      </c>
      <c r="H136" s="14">
        <v>0.4481</v>
      </c>
      <c r="I136" s="9">
        <v>1.83</v>
      </c>
    </row>
    <row r="137" spans="1:9" ht="15" thickBot="1" x14ac:dyDescent="0.35">
      <c r="A137" s="2" t="s">
        <v>135</v>
      </c>
      <c r="B137" s="12">
        <v>20.2</v>
      </c>
      <c r="C137" s="3">
        <v>7.2450000000000001</v>
      </c>
      <c r="D137" s="4">
        <v>3.9100000000000003E-2</v>
      </c>
      <c r="E137" s="5" t="s">
        <v>411</v>
      </c>
      <c r="F137" s="8">
        <v>2.3300000000000001E-2</v>
      </c>
      <c r="G137" s="5" t="s">
        <v>412</v>
      </c>
      <c r="H137" s="8">
        <v>1.2500000000000001E-2</v>
      </c>
      <c r="I137" s="9">
        <v>1.08</v>
      </c>
    </row>
    <row r="138" spans="1:9" ht="15" thickBot="1" x14ac:dyDescent="0.35">
      <c r="A138" s="2" t="s">
        <v>136</v>
      </c>
      <c r="B138" s="12">
        <v>19.510000000000002</v>
      </c>
      <c r="C138" s="3">
        <v>6.2050000000000001</v>
      </c>
      <c r="D138" s="4">
        <v>2.1100000000000001E-2</v>
      </c>
      <c r="E138" s="5" t="s">
        <v>413</v>
      </c>
      <c r="F138" s="5" t="s">
        <v>414</v>
      </c>
      <c r="G138" s="5" t="s">
        <v>415</v>
      </c>
      <c r="H138" s="5" t="s">
        <v>416</v>
      </c>
      <c r="I138" s="9">
        <v>1.04</v>
      </c>
    </row>
    <row r="139" spans="1:9" ht="15" thickBot="1" x14ac:dyDescent="0.35">
      <c r="A139" s="2" t="s">
        <v>137</v>
      </c>
      <c r="B139" s="12">
        <v>19.43</v>
      </c>
      <c r="C139" s="3">
        <v>5.4240000000000004</v>
      </c>
      <c r="D139" s="4">
        <v>2.23E-2</v>
      </c>
      <c r="E139" s="6">
        <v>6.93E-2</v>
      </c>
      <c r="F139" s="14">
        <v>0.26989999999999997</v>
      </c>
      <c r="G139" s="8">
        <v>3.2399999999999998E-2</v>
      </c>
      <c r="H139" s="14">
        <v>0.27489999999999998</v>
      </c>
      <c r="I139" s="7">
        <v>2.33</v>
      </c>
    </row>
    <row r="140" spans="1:9" ht="15" thickBot="1" x14ac:dyDescent="0.35">
      <c r="A140" s="2" t="s">
        <v>138</v>
      </c>
      <c r="B140" s="12">
        <v>18.89</v>
      </c>
      <c r="C140" s="3">
        <v>6.8760000000000003</v>
      </c>
      <c r="D140" s="15">
        <v>5.04E-2</v>
      </c>
      <c r="E140" s="11" t="s">
        <v>417</v>
      </c>
      <c r="F140" s="14">
        <v>0.38490000000000002</v>
      </c>
      <c r="G140" s="5" t="s">
        <v>418</v>
      </c>
      <c r="H140" s="14">
        <v>0.3659</v>
      </c>
      <c r="I140" s="12">
        <v>0.31</v>
      </c>
    </row>
    <row r="141" spans="1:9" ht="15" thickBot="1" x14ac:dyDescent="0.35">
      <c r="A141" s="2" t="s">
        <v>139</v>
      </c>
      <c r="B141" s="12">
        <v>18.79</v>
      </c>
      <c r="C141" s="3">
        <v>8.08</v>
      </c>
      <c r="D141" s="4">
        <v>2.9000000000000001E-2</v>
      </c>
      <c r="E141" s="8">
        <v>3.0700000000000002E-2</v>
      </c>
      <c r="F141" s="8">
        <v>9.1200000000000003E-2</v>
      </c>
      <c r="G141" s="5" t="s">
        <v>419</v>
      </c>
      <c r="H141" s="8">
        <v>7.3700000000000002E-2</v>
      </c>
      <c r="I141" s="9">
        <v>1.89</v>
      </c>
    </row>
    <row r="142" spans="1:9" ht="15" thickBot="1" x14ac:dyDescent="0.35">
      <c r="A142" s="2" t="s">
        <v>140</v>
      </c>
      <c r="B142" s="12">
        <v>18.440000000000001</v>
      </c>
      <c r="C142" s="3">
        <v>8.4090000000000007</v>
      </c>
      <c r="D142" s="15">
        <v>5.96E-2</v>
      </c>
      <c r="E142" s="6">
        <v>7.1499999999999994E-2</v>
      </c>
      <c r="F142" s="8">
        <v>4.5400000000000003E-2</v>
      </c>
      <c r="G142" s="5" t="s">
        <v>420</v>
      </c>
      <c r="H142" s="6">
        <v>0.10489999999999999</v>
      </c>
      <c r="I142" s="7">
        <v>2.85</v>
      </c>
    </row>
    <row r="143" spans="1:9" ht="15" thickBot="1" x14ac:dyDescent="0.35">
      <c r="A143" s="2" t="s">
        <v>141</v>
      </c>
      <c r="B143" s="12">
        <v>17.55</v>
      </c>
      <c r="C143" s="13">
        <v>23.433</v>
      </c>
      <c r="D143" s="4">
        <v>1.72E-2</v>
      </c>
      <c r="E143" s="6">
        <v>7.9299999999999995E-2</v>
      </c>
      <c r="F143" s="6">
        <v>0.18740000000000001</v>
      </c>
      <c r="G143" s="6">
        <v>0.08</v>
      </c>
      <c r="H143" s="6">
        <v>0.21790000000000001</v>
      </c>
      <c r="I143" s="9">
        <v>1.23</v>
      </c>
    </row>
    <row r="144" spans="1:9" ht="15" thickBot="1" x14ac:dyDescent="0.35">
      <c r="A144" s="2" t="s">
        <v>142</v>
      </c>
      <c r="B144" s="12">
        <v>17.37</v>
      </c>
      <c r="C144" s="3">
        <v>8.9640000000000004</v>
      </c>
      <c r="D144" s="4">
        <v>1.6199999999999999E-2</v>
      </c>
      <c r="E144" s="8">
        <v>2.4799999999999999E-2</v>
      </c>
      <c r="F144" s="8">
        <v>5.7999999999999996E-3</v>
      </c>
      <c r="G144" s="5" t="s">
        <v>365</v>
      </c>
      <c r="H144" s="5" t="s">
        <v>421</v>
      </c>
      <c r="I144" s="9">
        <v>1.1000000000000001</v>
      </c>
    </row>
    <row r="145" spans="1:9" ht="15" thickBot="1" x14ac:dyDescent="0.35">
      <c r="A145" s="2" t="s">
        <v>143</v>
      </c>
      <c r="B145" s="12">
        <v>17.29</v>
      </c>
      <c r="C145" s="10">
        <v>46.399000000000001</v>
      </c>
      <c r="D145" s="19">
        <v>0.1011</v>
      </c>
      <c r="E145" s="6">
        <v>9.4299999999999995E-2</v>
      </c>
      <c r="F145" s="14">
        <v>0.53959999999999997</v>
      </c>
      <c r="G145" s="6">
        <v>8.8800000000000004E-2</v>
      </c>
      <c r="H145" s="14">
        <v>0.55069999999999997</v>
      </c>
      <c r="I145" s="7">
        <v>2.34</v>
      </c>
    </row>
    <row r="146" spans="1:9" ht="15" thickBot="1" x14ac:dyDescent="0.35">
      <c r="A146" s="2" t="s">
        <v>144</v>
      </c>
      <c r="B146" s="12">
        <v>17.2</v>
      </c>
      <c r="C146" s="13">
        <v>10.691000000000001</v>
      </c>
      <c r="D146" s="4">
        <v>4.1000000000000002E-2</v>
      </c>
      <c r="E146" s="8">
        <v>3.61E-2</v>
      </c>
      <c r="F146" s="6">
        <v>0.1026</v>
      </c>
      <c r="G146" s="8">
        <v>3.5000000000000001E-3</v>
      </c>
      <c r="H146" s="6">
        <v>0.1169</v>
      </c>
      <c r="I146" s="9">
        <v>1.3</v>
      </c>
    </row>
    <row r="147" spans="1:9" ht="15" thickBot="1" x14ac:dyDescent="0.35">
      <c r="A147" s="2" t="s">
        <v>145</v>
      </c>
      <c r="B147" s="12">
        <v>17.190000000000001</v>
      </c>
      <c r="C147" s="3">
        <v>6.8730000000000002</v>
      </c>
      <c r="D147" s="15">
        <v>9.8900000000000002E-2</v>
      </c>
      <c r="E147" s="14">
        <v>0.24660000000000001</v>
      </c>
      <c r="F147" s="14">
        <v>0.2954</v>
      </c>
      <c r="G147" s="6">
        <v>0.18390000000000001</v>
      </c>
      <c r="H147" s="14">
        <v>0.39190000000000003</v>
      </c>
      <c r="I147" s="7">
        <v>3.11</v>
      </c>
    </row>
    <row r="148" spans="1:9" ht="15" thickBot="1" x14ac:dyDescent="0.35">
      <c r="A148" s="2" t="s">
        <v>146</v>
      </c>
      <c r="B148" s="12">
        <v>17.010000000000002</v>
      </c>
      <c r="C148" s="13">
        <v>13.882999999999999</v>
      </c>
      <c r="D148" s="4">
        <v>1.9800000000000002E-2</v>
      </c>
      <c r="E148" s="8">
        <v>4.2299999999999997E-2</v>
      </c>
      <c r="F148" s="8">
        <v>5.5899999999999998E-2</v>
      </c>
      <c r="G148" s="8">
        <v>2.41E-2</v>
      </c>
      <c r="H148" s="8">
        <v>4.7399999999999998E-2</v>
      </c>
      <c r="I148" s="12">
        <v>0.64</v>
      </c>
    </row>
    <row r="149" spans="1:9" ht="15" thickBot="1" x14ac:dyDescent="0.35">
      <c r="A149" s="2" t="s">
        <v>147</v>
      </c>
      <c r="B149" s="12">
        <v>16.91</v>
      </c>
      <c r="C149" s="13">
        <v>17.602</v>
      </c>
      <c r="D149" s="4">
        <v>1.67E-2</v>
      </c>
      <c r="E149" s="8">
        <v>1.1999999999999999E-3</v>
      </c>
      <c r="F149" s="5" t="s">
        <v>422</v>
      </c>
      <c r="G149" s="8">
        <v>3.0000000000000001E-3</v>
      </c>
      <c r="H149" s="8">
        <v>3.2399999999999998E-2</v>
      </c>
      <c r="I149" s="12">
        <v>0.42</v>
      </c>
    </row>
    <row r="150" spans="1:9" ht="15" thickBot="1" x14ac:dyDescent="0.35">
      <c r="A150" s="2" t="s">
        <v>148</v>
      </c>
      <c r="B150" s="12">
        <v>16.600000000000001</v>
      </c>
      <c r="C150" s="13">
        <v>14.506</v>
      </c>
      <c r="D150" s="4">
        <v>1.5900000000000001E-2</v>
      </c>
      <c r="E150" s="8">
        <v>8.5000000000000006E-3</v>
      </c>
      <c r="F150" s="5" t="s">
        <v>343</v>
      </c>
      <c r="G150" s="8">
        <v>3.8100000000000002E-2</v>
      </c>
      <c r="H150" s="5" t="s">
        <v>423</v>
      </c>
      <c r="I150" s="9">
        <v>1.07</v>
      </c>
    </row>
    <row r="151" spans="1:9" ht="15" thickBot="1" x14ac:dyDescent="0.35">
      <c r="A151" s="2" t="s">
        <v>149</v>
      </c>
      <c r="B151" s="12">
        <v>16.39</v>
      </c>
      <c r="C151" s="3">
        <v>8.7059999999999995</v>
      </c>
      <c r="D151" s="4">
        <v>2.29E-2</v>
      </c>
      <c r="E151" s="8">
        <v>3.5400000000000001E-2</v>
      </c>
      <c r="F151" s="6">
        <v>0.18079999999999999</v>
      </c>
      <c r="G151" s="8">
        <v>1.4200000000000001E-2</v>
      </c>
      <c r="H151" s="6">
        <v>0.1303</v>
      </c>
      <c r="I151" s="7">
        <v>2.04</v>
      </c>
    </row>
    <row r="152" spans="1:9" ht="15" thickBot="1" x14ac:dyDescent="0.35">
      <c r="A152" s="2" t="s">
        <v>150</v>
      </c>
      <c r="B152" s="12">
        <v>16.36</v>
      </c>
      <c r="C152" s="13">
        <v>16.061</v>
      </c>
      <c r="D152" s="4">
        <v>1.29E-2</v>
      </c>
      <c r="E152" s="5" t="s">
        <v>424</v>
      </c>
      <c r="F152" s="6">
        <v>0.13450000000000001</v>
      </c>
      <c r="G152" s="5" t="s">
        <v>425</v>
      </c>
      <c r="H152" s="8">
        <v>9.8000000000000004E-2</v>
      </c>
      <c r="I152" s="9">
        <v>1.24</v>
      </c>
    </row>
    <row r="153" spans="1:9" ht="15" thickBot="1" x14ac:dyDescent="0.35">
      <c r="A153" s="2" t="s">
        <v>151</v>
      </c>
      <c r="B153" s="12">
        <v>16.18</v>
      </c>
      <c r="C153" s="3">
        <v>5.6959999999999997</v>
      </c>
      <c r="D153" s="15">
        <v>5.3400000000000003E-2</v>
      </c>
      <c r="E153" s="8">
        <v>4.7899999999999998E-2</v>
      </c>
      <c r="F153" s="6">
        <v>0.17929999999999999</v>
      </c>
      <c r="G153" s="5" t="s">
        <v>426</v>
      </c>
      <c r="H153" s="6">
        <v>0.19670000000000001</v>
      </c>
      <c r="I153" s="7">
        <v>2.4700000000000002</v>
      </c>
    </row>
    <row r="154" spans="1:9" ht="15" thickBot="1" x14ac:dyDescent="0.35">
      <c r="A154" s="2" t="s">
        <v>152</v>
      </c>
      <c r="B154" s="12">
        <v>15.9</v>
      </c>
      <c r="C154" s="3">
        <v>5.74</v>
      </c>
      <c r="D154" s="4">
        <v>1.78E-2</v>
      </c>
      <c r="E154" s="6">
        <v>7.6499999999999999E-2</v>
      </c>
      <c r="F154" s="6">
        <v>0.21</v>
      </c>
      <c r="G154" s="6">
        <v>5.0900000000000001E-2</v>
      </c>
      <c r="H154" s="6">
        <v>0.13569999999999999</v>
      </c>
      <c r="I154" s="12">
        <v>0.96</v>
      </c>
    </row>
    <row r="155" spans="1:9" ht="15" thickBot="1" x14ac:dyDescent="0.35">
      <c r="A155" s="2" t="s">
        <v>153</v>
      </c>
      <c r="B155" s="12">
        <v>15.78</v>
      </c>
      <c r="C155" s="10">
        <v>42.47</v>
      </c>
      <c r="D155" s="4">
        <v>1.47E-2</v>
      </c>
      <c r="E155" s="8">
        <v>2.1399999999999999E-2</v>
      </c>
      <c r="F155" s="8">
        <v>3.2000000000000002E-3</v>
      </c>
      <c r="G155" s="8">
        <v>5.1000000000000004E-3</v>
      </c>
      <c r="H155" s="8">
        <v>3.61E-2</v>
      </c>
      <c r="I155" s="12">
        <v>0.63</v>
      </c>
    </row>
    <row r="156" spans="1:9" ht="15" thickBot="1" x14ac:dyDescent="0.35">
      <c r="A156" s="2" t="s">
        <v>154</v>
      </c>
      <c r="B156" s="12">
        <v>15.74</v>
      </c>
      <c r="C156" s="13">
        <v>16.288</v>
      </c>
      <c r="D156" s="4">
        <v>2.3900000000000001E-2</v>
      </c>
      <c r="E156" s="8">
        <v>2.47E-2</v>
      </c>
      <c r="F156" s="8">
        <v>3.4799999999999998E-2</v>
      </c>
      <c r="G156" s="8">
        <v>1.2200000000000001E-2</v>
      </c>
      <c r="H156" s="8">
        <v>4.0300000000000002E-2</v>
      </c>
      <c r="I156" s="9">
        <v>1.95</v>
      </c>
    </row>
    <row r="157" spans="1:9" ht="15" thickBot="1" x14ac:dyDescent="0.35">
      <c r="A157" s="2" t="s">
        <v>155</v>
      </c>
      <c r="B157" s="12">
        <v>15.51</v>
      </c>
      <c r="C157" s="13">
        <v>14.74</v>
      </c>
      <c r="D157" s="4">
        <v>2.0899999999999998E-2</v>
      </c>
      <c r="E157" s="8">
        <v>3.4000000000000002E-2</v>
      </c>
      <c r="F157" s="6">
        <v>0.14130000000000001</v>
      </c>
      <c r="G157" s="5" t="s">
        <v>427</v>
      </c>
      <c r="H157" s="8">
        <v>9.6100000000000005E-2</v>
      </c>
      <c r="I157" s="9">
        <v>1.82</v>
      </c>
    </row>
    <row r="158" spans="1:9" ht="15" thickBot="1" x14ac:dyDescent="0.35">
      <c r="A158" s="2" t="s">
        <v>156</v>
      </c>
      <c r="B158" s="12">
        <v>15.48</v>
      </c>
      <c r="C158" s="13">
        <v>17.805</v>
      </c>
      <c r="D158" s="4">
        <v>4.65E-2</v>
      </c>
      <c r="E158" s="8">
        <v>4.5199999999999997E-2</v>
      </c>
      <c r="F158" s="8">
        <v>4.1700000000000001E-2</v>
      </c>
      <c r="G158" s="5" t="s">
        <v>428</v>
      </c>
      <c r="H158" s="6">
        <v>0.1258</v>
      </c>
      <c r="I158" s="7">
        <v>3.8</v>
      </c>
    </row>
    <row r="159" spans="1:9" ht="15" thickBot="1" x14ac:dyDescent="0.35">
      <c r="A159" s="2" t="s">
        <v>157</v>
      </c>
      <c r="B159" s="12">
        <v>15.28</v>
      </c>
      <c r="C159" s="10">
        <v>103.026</v>
      </c>
      <c r="D159" s="15">
        <v>6.6699999999999995E-2</v>
      </c>
      <c r="E159" s="6">
        <v>8.9099999999999999E-2</v>
      </c>
      <c r="F159" s="8">
        <v>3.8699999999999998E-2</v>
      </c>
      <c r="G159" s="5" t="s">
        <v>429</v>
      </c>
      <c r="H159" s="6">
        <v>0.19</v>
      </c>
      <c r="I159" s="9">
        <v>1.77</v>
      </c>
    </row>
    <row r="160" spans="1:9" ht="15" thickBot="1" x14ac:dyDescent="0.35">
      <c r="A160" s="2" t="s">
        <v>158</v>
      </c>
      <c r="B160" s="12">
        <v>14.88</v>
      </c>
      <c r="C160" s="13">
        <v>10.895</v>
      </c>
      <c r="D160" s="15">
        <v>5.3699999999999998E-2</v>
      </c>
      <c r="E160" s="5" t="s">
        <v>430</v>
      </c>
      <c r="F160" s="20" t="s">
        <v>431</v>
      </c>
      <c r="G160" s="5" t="s">
        <v>432</v>
      </c>
      <c r="H160" s="20" t="s">
        <v>433</v>
      </c>
      <c r="I160" s="9">
        <v>1.73</v>
      </c>
    </row>
    <row r="161" spans="1:9" ht="15" thickBot="1" x14ac:dyDescent="0.35">
      <c r="A161" s="2" t="s">
        <v>159</v>
      </c>
      <c r="B161" s="12">
        <v>14.79</v>
      </c>
      <c r="C161" s="10">
        <v>62.372</v>
      </c>
      <c r="D161" s="4">
        <v>2.92E-2</v>
      </c>
      <c r="E161" s="6">
        <v>5.4899999999999997E-2</v>
      </c>
      <c r="F161" s="6">
        <v>0.23250000000000001</v>
      </c>
      <c r="G161" s="8">
        <v>3.8600000000000002E-2</v>
      </c>
      <c r="H161" s="14">
        <v>0.27610000000000001</v>
      </c>
      <c r="I161" s="9">
        <v>1.75</v>
      </c>
    </row>
    <row r="162" spans="1:9" ht="15" thickBot="1" x14ac:dyDescent="0.35">
      <c r="A162" s="2" t="s">
        <v>160</v>
      </c>
      <c r="B162" s="12">
        <v>14.64</v>
      </c>
      <c r="C162" s="10">
        <v>28.949000000000002</v>
      </c>
      <c r="D162" s="15">
        <v>7.5999999999999998E-2</v>
      </c>
      <c r="E162" s="6">
        <v>8.2000000000000003E-2</v>
      </c>
      <c r="F162" s="5" t="s">
        <v>434</v>
      </c>
      <c r="G162" s="11" t="s">
        <v>435</v>
      </c>
      <c r="H162" s="5" t="s">
        <v>436</v>
      </c>
      <c r="I162" s="7">
        <v>2.4900000000000002</v>
      </c>
    </row>
    <row r="163" spans="1:9" ht="15" thickBot="1" x14ac:dyDescent="0.35">
      <c r="A163" s="2" t="s">
        <v>161</v>
      </c>
      <c r="B163" s="12">
        <v>13.35</v>
      </c>
      <c r="C163" s="13">
        <v>13.247999999999999</v>
      </c>
      <c r="D163" s="19">
        <v>0.27160000000000001</v>
      </c>
      <c r="E163" s="14">
        <v>0.42480000000000001</v>
      </c>
      <c r="F163" s="6">
        <v>0.23730000000000001</v>
      </c>
      <c r="G163" s="14">
        <v>0.45900000000000002</v>
      </c>
      <c r="H163" s="14">
        <v>0.40820000000000001</v>
      </c>
      <c r="I163" s="7">
        <v>2.2999999999999998</v>
      </c>
    </row>
    <row r="164" spans="1:9" ht="15" thickBot="1" x14ac:dyDescent="0.35">
      <c r="A164" s="2" t="s">
        <v>162</v>
      </c>
      <c r="B164" s="12">
        <v>13.16</v>
      </c>
      <c r="C164" s="10">
        <v>39.64</v>
      </c>
      <c r="D164" s="15">
        <v>8.8999999999999996E-2</v>
      </c>
      <c r="E164" s="8">
        <v>3.5400000000000001E-2</v>
      </c>
      <c r="F164" s="14">
        <v>0.34420000000000001</v>
      </c>
      <c r="G164" s="6">
        <v>7.4300000000000005E-2</v>
      </c>
      <c r="H164" s="14">
        <v>0.43669999999999998</v>
      </c>
      <c r="I164" s="7">
        <v>4.62</v>
      </c>
    </row>
    <row r="165" spans="1:9" ht="15" thickBot="1" x14ac:dyDescent="0.35">
      <c r="A165" s="2" t="s">
        <v>163</v>
      </c>
      <c r="B165" s="12">
        <v>12.75</v>
      </c>
      <c r="C165" s="3">
        <v>5.3979999999999997</v>
      </c>
      <c r="D165" s="4">
        <v>4.2500000000000003E-2</v>
      </c>
      <c r="E165" s="11" t="s">
        <v>437</v>
      </c>
      <c r="F165" s="8">
        <v>1.7600000000000001E-2</v>
      </c>
      <c r="G165" s="11" t="s">
        <v>438</v>
      </c>
      <c r="H165" s="5" t="s">
        <v>439</v>
      </c>
      <c r="I165" s="9">
        <v>1.23</v>
      </c>
    </row>
    <row r="166" spans="1:9" ht="15" thickBot="1" x14ac:dyDescent="0.35">
      <c r="A166" s="2" t="s">
        <v>164</v>
      </c>
      <c r="B166" s="12">
        <v>12.74</v>
      </c>
      <c r="C166" s="3">
        <v>9.2590000000000003</v>
      </c>
      <c r="D166" s="4">
        <v>1.43E-2</v>
      </c>
      <c r="E166" s="8">
        <v>1.9199999999999998E-2</v>
      </c>
      <c r="F166" s="8">
        <v>2.7400000000000001E-2</v>
      </c>
      <c r="G166" s="18">
        <v>0</v>
      </c>
      <c r="H166" s="5" t="s">
        <v>440</v>
      </c>
      <c r="I166" s="12">
        <v>0.84</v>
      </c>
    </row>
    <row r="167" spans="1:9" ht="15" thickBot="1" x14ac:dyDescent="0.35">
      <c r="A167" s="2" t="s">
        <v>165</v>
      </c>
      <c r="B167" s="12">
        <v>12.45</v>
      </c>
      <c r="C167" s="10">
        <v>25.635000000000002</v>
      </c>
      <c r="D167" s="4">
        <v>3.0099999999999998E-2</v>
      </c>
      <c r="E167" s="6">
        <v>5.6000000000000001E-2</v>
      </c>
      <c r="F167" s="6">
        <v>0.1037</v>
      </c>
      <c r="G167" s="8">
        <v>2.1299999999999999E-2</v>
      </c>
      <c r="H167" s="6">
        <v>0.11459999999999999</v>
      </c>
      <c r="I167" s="9">
        <v>1.4</v>
      </c>
    </row>
    <row r="168" spans="1:9" ht="15" thickBot="1" x14ac:dyDescent="0.35">
      <c r="A168" s="2" t="s">
        <v>166</v>
      </c>
      <c r="B168" s="12">
        <v>11.65</v>
      </c>
      <c r="C168" s="13">
        <v>22.506</v>
      </c>
      <c r="D168" s="4">
        <v>2.5000000000000001E-2</v>
      </c>
      <c r="E168" s="6">
        <v>7.6700000000000004E-2</v>
      </c>
      <c r="F168" s="6">
        <v>0.14219999999999999</v>
      </c>
      <c r="G168" s="6">
        <v>0.1043</v>
      </c>
      <c r="H168" s="6">
        <v>0.18029999999999999</v>
      </c>
      <c r="I168" s="9">
        <v>1.86</v>
      </c>
    </row>
    <row r="169" spans="1:9" ht="15" thickBot="1" x14ac:dyDescent="0.35">
      <c r="A169" s="2" t="s">
        <v>167</v>
      </c>
      <c r="B169" s="12">
        <v>11.54</v>
      </c>
      <c r="C169" s="13">
        <v>20.161999999999999</v>
      </c>
      <c r="D169" s="15">
        <v>6.5799999999999997E-2</v>
      </c>
      <c r="E169" s="5" t="s">
        <v>292</v>
      </c>
      <c r="F169" s="5" t="s">
        <v>441</v>
      </c>
      <c r="G169" s="5" t="s">
        <v>442</v>
      </c>
      <c r="H169" s="8">
        <v>3.8699999999999998E-2</v>
      </c>
      <c r="I169" s="7">
        <v>3.51</v>
      </c>
    </row>
    <row r="170" spans="1:9" ht="15" thickBot="1" x14ac:dyDescent="0.35">
      <c r="A170" s="2" t="s">
        <v>168</v>
      </c>
      <c r="B170" s="12">
        <v>11.54</v>
      </c>
      <c r="C170" s="3">
        <v>5.8479999999999999</v>
      </c>
      <c r="D170" s="4">
        <v>3.4000000000000002E-2</v>
      </c>
      <c r="E170" s="8">
        <v>6.1000000000000004E-3</v>
      </c>
      <c r="F170" s="6">
        <v>0.13469999999999999</v>
      </c>
      <c r="G170" s="5" t="s">
        <v>288</v>
      </c>
      <c r="H170" s="8">
        <v>7.3499999999999996E-2</v>
      </c>
      <c r="I170" s="9">
        <v>1.21</v>
      </c>
    </row>
    <row r="171" spans="1:9" ht="15" thickBot="1" x14ac:dyDescent="0.35">
      <c r="A171" s="2" t="s">
        <v>169</v>
      </c>
      <c r="B171" s="12">
        <v>11.49</v>
      </c>
      <c r="C171" s="3">
        <v>5.4039999999999999</v>
      </c>
      <c r="D171" s="4">
        <v>1.8599999999999998E-2</v>
      </c>
      <c r="E171" s="8">
        <v>1.23E-2</v>
      </c>
      <c r="F171" s="8">
        <v>8.8000000000000005E-3</v>
      </c>
      <c r="G171" s="5" t="s">
        <v>442</v>
      </c>
      <c r="H171" s="5" t="s">
        <v>443</v>
      </c>
      <c r="I171" s="12">
        <v>0.89</v>
      </c>
    </row>
    <row r="172" spans="1:9" ht="15" thickBot="1" x14ac:dyDescent="0.35">
      <c r="A172" s="2" t="s">
        <v>170</v>
      </c>
      <c r="B172" s="12">
        <v>11.19</v>
      </c>
      <c r="C172" s="13">
        <v>11.701000000000001</v>
      </c>
      <c r="D172" s="4">
        <v>2.7099999999999999E-2</v>
      </c>
      <c r="E172" s="6">
        <v>6.88E-2</v>
      </c>
      <c r="F172" s="8">
        <v>8.8499999999999995E-2</v>
      </c>
      <c r="G172" s="8">
        <v>4.48E-2</v>
      </c>
      <c r="H172" s="8">
        <v>7.9100000000000004E-2</v>
      </c>
      <c r="I172" s="9">
        <v>1.47</v>
      </c>
    </row>
    <row r="173" spans="1:9" ht="15" thickBot="1" x14ac:dyDescent="0.35">
      <c r="A173" s="2" t="s">
        <v>171</v>
      </c>
      <c r="B173" s="12">
        <v>11.15</v>
      </c>
      <c r="C173" s="13">
        <v>12.323</v>
      </c>
      <c r="D173" s="4">
        <v>2.1299999999999999E-2</v>
      </c>
      <c r="E173" s="8">
        <v>1.3599999999999999E-2</v>
      </c>
      <c r="F173" s="8">
        <v>8.1500000000000003E-2</v>
      </c>
      <c r="G173" s="11" t="s">
        <v>444</v>
      </c>
      <c r="H173" s="8">
        <v>1.46E-2</v>
      </c>
      <c r="I173" s="12">
        <v>0.41</v>
      </c>
    </row>
    <row r="174" spans="1:9" ht="15" thickBot="1" x14ac:dyDescent="0.35">
      <c r="A174" s="2" t="s">
        <v>172</v>
      </c>
      <c r="B174" s="12">
        <v>10.76</v>
      </c>
      <c r="C174" s="3">
        <v>7.157</v>
      </c>
      <c r="D174" s="15">
        <v>5.1200000000000002E-2</v>
      </c>
      <c r="E174" s="8">
        <v>4.5699999999999998E-2</v>
      </c>
      <c r="F174" s="6">
        <v>0.15329999999999999</v>
      </c>
      <c r="G174" s="6">
        <v>7.7100000000000002E-2</v>
      </c>
      <c r="H174" s="6">
        <v>0.1208</v>
      </c>
      <c r="I174" s="9">
        <v>1.01</v>
      </c>
    </row>
    <row r="175" spans="1:9" ht="15" thickBot="1" x14ac:dyDescent="0.35">
      <c r="A175" s="2" t="s">
        <v>173</v>
      </c>
      <c r="B175" s="12">
        <v>10.55</v>
      </c>
      <c r="C175" s="13">
        <v>14.186999999999999</v>
      </c>
      <c r="D175" s="4">
        <v>2.0799999999999999E-2</v>
      </c>
      <c r="E175" s="8">
        <v>3.3300000000000003E-2</v>
      </c>
      <c r="F175" s="8">
        <v>2.3300000000000001E-2</v>
      </c>
      <c r="G175" s="5" t="s">
        <v>445</v>
      </c>
      <c r="H175" s="8">
        <v>1.2500000000000001E-2</v>
      </c>
      <c r="I175" s="12">
        <v>0.91</v>
      </c>
    </row>
    <row r="176" spans="1:9" ht="15" thickBot="1" x14ac:dyDescent="0.35">
      <c r="A176" s="2" t="s">
        <v>174</v>
      </c>
      <c r="B176" s="12">
        <v>10.45</v>
      </c>
      <c r="C176" s="13">
        <v>14.929</v>
      </c>
      <c r="D176" s="15">
        <v>6.25E-2</v>
      </c>
      <c r="E176" s="8">
        <v>3.4700000000000002E-2</v>
      </c>
      <c r="F176" s="6">
        <v>0.1585</v>
      </c>
      <c r="G176" s="6">
        <v>7.3999999999999996E-2</v>
      </c>
      <c r="H176" s="14">
        <v>0.28689999999999999</v>
      </c>
      <c r="I176" s="7">
        <v>2.12</v>
      </c>
    </row>
    <row r="177" spans="1:9" ht="15" thickBot="1" x14ac:dyDescent="0.35">
      <c r="A177" s="2" t="s">
        <v>175</v>
      </c>
      <c r="B177" s="12">
        <v>10.18</v>
      </c>
      <c r="C177" s="3">
        <v>7.8479999999999999</v>
      </c>
      <c r="D177" s="15">
        <v>5.8099999999999999E-2</v>
      </c>
      <c r="E177" s="6">
        <v>7.2700000000000001E-2</v>
      </c>
      <c r="F177" s="6">
        <v>0.14130000000000001</v>
      </c>
      <c r="G177" s="8">
        <v>2.2100000000000002E-2</v>
      </c>
      <c r="H177" s="6">
        <v>0.1837</v>
      </c>
      <c r="I177" s="9">
        <v>1.1399999999999999</v>
      </c>
    </row>
    <row r="178" spans="1:9" ht="15" thickBot="1" x14ac:dyDescent="0.35">
      <c r="A178" s="2" t="s">
        <v>176</v>
      </c>
      <c r="B178" s="12">
        <v>10.15</v>
      </c>
      <c r="C178" s="3">
        <v>5.0220000000000002</v>
      </c>
      <c r="D178" s="4">
        <v>3.4000000000000002E-2</v>
      </c>
      <c r="E178" s="8">
        <v>5.8999999999999999E-3</v>
      </c>
      <c r="F178" s="5" t="s">
        <v>392</v>
      </c>
      <c r="G178" s="5" t="s">
        <v>446</v>
      </c>
      <c r="H178" s="5" t="s">
        <v>447</v>
      </c>
      <c r="I178" s="7">
        <v>2.6</v>
      </c>
    </row>
    <row r="179" spans="1:9" ht="15" thickBot="1" x14ac:dyDescent="0.35">
      <c r="A179" s="2" t="s">
        <v>177</v>
      </c>
      <c r="B179" s="12">
        <v>9.9600000000000009</v>
      </c>
      <c r="C179" s="3">
        <v>7.9539999999999997</v>
      </c>
      <c r="D179" s="4">
        <v>2.81E-2</v>
      </c>
      <c r="E179" s="8">
        <v>1.43E-2</v>
      </c>
      <c r="F179" s="6">
        <v>0.22209999999999999</v>
      </c>
      <c r="G179" s="5" t="s">
        <v>448</v>
      </c>
      <c r="H179" s="6">
        <v>0.2044</v>
      </c>
      <c r="I179" s="9">
        <v>1.49</v>
      </c>
    </row>
    <row r="180" spans="1:9" ht="15" thickBot="1" x14ac:dyDescent="0.35">
      <c r="A180" s="2" t="s">
        <v>178</v>
      </c>
      <c r="B180" s="12">
        <v>9.81</v>
      </c>
      <c r="C180" s="3">
        <v>7.8390000000000004</v>
      </c>
      <c r="D180" s="4">
        <v>3.1800000000000002E-2</v>
      </c>
      <c r="E180" s="5" t="s">
        <v>434</v>
      </c>
      <c r="F180" s="8">
        <v>1.7600000000000001E-2</v>
      </c>
      <c r="G180" s="5" t="s">
        <v>449</v>
      </c>
      <c r="H180" s="5" t="s">
        <v>434</v>
      </c>
      <c r="I180" s="12">
        <v>0.83</v>
      </c>
    </row>
    <row r="181" spans="1:9" ht="15" thickBot="1" x14ac:dyDescent="0.35">
      <c r="A181" s="2" t="s">
        <v>179</v>
      </c>
      <c r="B181" s="12">
        <v>9.7200000000000006</v>
      </c>
      <c r="C181" s="3">
        <v>9.8620000000000001</v>
      </c>
      <c r="D181" s="4">
        <v>2.8000000000000001E-2</v>
      </c>
      <c r="E181" s="5" t="s">
        <v>320</v>
      </c>
      <c r="F181" s="8">
        <v>6.2300000000000001E-2</v>
      </c>
      <c r="G181" s="5" t="s">
        <v>450</v>
      </c>
      <c r="H181" s="8">
        <v>7.2800000000000004E-2</v>
      </c>
      <c r="I181" s="9">
        <v>1.25</v>
      </c>
    </row>
    <row r="182" spans="1:9" ht="15" thickBot="1" x14ac:dyDescent="0.35">
      <c r="A182" s="2" t="s">
        <v>180</v>
      </c>
      <c r="B182" s="12">
        <v>9.44</v>
      </c>
      <c r="C182" s="10">
        <v>26.183</v>
      </c>
      <c r="D182" s="4">
        <v>4.9500000000000002E-2</v>
      </c>
      <c r="E182" s="8">
        <v>2.6100000000000002E-2</v>
      </c>
      <c r="F182" s="6">
        <v>0.1346</v>
      </c>
      <c r="G182" s="5" t="s">
        <v>451</v>
      </c>
      <c r="H182" s="6">
        <v>0.1225</v>
      </c>
      <c r="I182" s="7">
        <v>2.68</v>
      </c>
    </row>
    <row r="183" spans="1:9" ht="15" thickBot="1" x14ac:dyDescent="0.35">
      <c r="A183" s="2" t="s">
        <v>181</v>
      </c>
      <c r="B183" s="12">
        <v>9.3800000000000008</v>
      </c>
      <c r="C183" s="3">
        <v>9.6259999999999994</v>
      </c>
      <c r="D183" s="4">
        <v>2.4400000000000002E-2</v>
      </c>
      <c r="E183" s="8">
        <v>3.7600000000000001E-2</v>
      </c>
      <c r="F183" s="8">
        <v>9.9599999999999994E-2</v>
      </c>
      <c r="G183" s="8">
        <v>9.7000000000000003E-3</v>
      </c>
      <c r="H183" s="14">
        <v>0.57650000000000001</v>
      </c>
      <c r="I183" s="9">
        <v>1.68</v>
      </c>
    </row>
    <row r="184" spans="1:9" ht="15" thickBot="1" x14ac:dyDescent="0.35">
      <c r="A184" s="2" t="s">
        <v>182</v>
      </c>
      <c r="B184" s="12">
        <v>9.34</v>
      </c>
      <c r="C184" s="3">
        <v>6.3789999999999996</v>
      </c>
      <c r="D184" s="4">
        <v>3.5999999999999997E-2</v>
      </c>
      <c r="E184" s="11" t="s">
        <v>452</v>
      </c>
      <c r="F184" s="5" t="s">
        <v>453</v>
      </c>
      <c r="G184" s="11" t="s">
        <v>454</v>
      </c>
      <c r="H184" s="11" t="s">
        <v>455</v>
      </c>
      <c r="I184" s="9">
        <v>1.02</v>
      </c>
    </row>
    <row r="185" spans="1:9" ht="15" thickBot="1" x14ac:dyDescent="0.35">
      <c r="A185" s="2" t="s">
        <v>183</v>
      </c>
      <c r="B185" s="12">
        <v>9.31</v>
      </c>
      <c r="C185" s="13">
        <v>19.471</v>
      </c>
      <c r="D185" s="4">
        <v>2.7099999999999999E-2</v>
      </c>
      <c r="E185" s="5" t="s">
        <v>456</v>
      </c>
      <c r="F185" s="5" t="s">
        <v>457</v>
      </c>
      <c r="G185" s="11" t="s">
        <v>458</v>
      </c>
      <c r="H185" s="5" t="s">
        <v>459</v>
      </c>
      <c r="I185" s="9">
        <v>1.31</v>
      </c>
    </row>
    <row r="186" spans="1:9" ht="15" thickBot="1" x14ac:dyDescent="0.35">
      <c r="A186" s="2" t="s">
        <v>184</v>
      </c>
      <c r="B186" s="12">
        <v>8.99</v>
      </c>
      <c r="C186" s="3">
        <v>8.2840000000000007</v>
      </c>
      <c r="D186" s="4">
        <v>3.8699999999999998E-2</v>
      </c>
      <c r="E186" s="6">
        <v>0.1452</v>
      </c>
      <c r="F186" s="8">
        <v>8.1799999999999998E-2</v>
      </c>
      <c r="G186" s="6">
        <v>9.2299999999999993E-2</v>
      </c>
      <c r="H186" s="8">
        <v>6.1400000000000003E-2</v>
      </c>
      <c r="I186" s="9">
        <v>1.54</v>
      </c>
    </row>
    <row r="187" spans="1:9" ht="15" thickBot="1" x14ac:dyDescent="0.35">
      <c r="A187" s="2" t="s">
        <v>185</v>
      </c>
      <c r="B187" s="12">
        <v>8.8699999999999992</v>
      </c>
      <c r="C187" s="10">
        <v>62.847000000000001</v>
      </c>
      <c r="D187" s="15">
        <v>5.9400000000000001E-2</v>
      </c>
      <c r="E187" s="6">
        <v>7.1300000000000002E-2</v>
      </c>
      <c r="F187" s="14">
        <v>0.27810000000000001</v>
      </c>
      <c r="G187" s="8">
        <v>4.2299999999999997E-2</v>
      </c>
      <c r="H187" s="14">
        <v>0.69269999999999998</v>
      </c>
      <c r="I187" s="7">
        <v>2.21</v>
      </c>
    </row>
    <row r="188" spans="1:9" ht="15" thickBot="1" x14ac:dyDescent="0.35">
      <c r="A188" s="2" t="s">
        <v>186</v>
      </c>
      <c r="B188" s="12">
        <v>8.73</v>
      </c>
      <c r="C188" s="13">
        <v>11.759</v>
      </c>
      <c r="D188" s="4">
        <v>2.6599999999999999E-2</v>
      </c>
      <c r="E188" s="6">
        <v>9.9500000000000005E-2</v>
      </c>
      <c r="F188" s="14">
        <v>0.2782</v>
      </c>
      <c r="G188" s="6">
        <v>8.4500000000000006E-2</v>
      </c>
      <c r="H188" s="14">
        <v>0.27450000000000002</v>
      </c>
      <c r="I188" s="9">
        <v>1.58</v>
      </c>
    </row>
    <row r="189" spans="1:9" ht="15" thickBot="1" x14ac:dyDescent="0.35">
      <c r="A189" s="2" t="s">
        <v>187</v>
      </c>
      <c r="B189" s="12">
        <v>8.5399999999999991</v>
      </c>
      <c r="C189" s="13">
        <v>10.425000000000001</v>
      </c>
      <c r="D189" s="4">
        <v>4.82E-2</v>
      </c>
      <c r="E189" s="5" t="s">
        <v>460</v>
      </c>
      <c r="F189" s="8">
        <v>6.4799999999999996E-2</v>
      </c>
      <c r="G189" s="5" t="s">
        <v>461</v>
      </c>
      <c r="H189" s="8">
        <v>4.7899999999999998E-2</v>
      </c>
      <c r="I189" s="9">
        <v>1.95</v>
      </c>
    </row>
    <row r="190" spans="1:9" ht="15" thickBot="1" x14ac:dyDescent="0.35">
      <c r="A190" s="2" t="s">
        <v>188</v>
      </c>
      <c r="B190" s="12">
        <v>8.36</v>
      </c>
      <c r="C190" s="13">
        <v>13.371</v>
      </c>
      <c r="D190" s="15">
        <v>7.8600000000000003E-2</v>
      </c>
      <c r="E190" s="6">
        <v>0.13589999999999999</v>
      </c>
      <c r="F190" s="11" t="s">
        <v>462</v>
      </c>
      <c r="G190" s="8">
        <v>3.0800000000000001E-2</v>
      </c>
      <c r="H190" s="8">
        <v>1.1999999999999999E-3</v>
      </c>
      <c r="I190" s="7">
        <v>2.56</v>
      </c>
    </row>
    <row r="191" spans="1:9" ht="15" thickBot="1" x14ac:dyDescent="0.35">
      <c r="A191" s="2" t="s">
        <v>189</v>
      </c>
      <c r="B191" s="12">
        <v>8.16</v>
      </c>
      <c r="C191" s="13">
        <v>23.204000000000001</v>
      </c>
      <c r="D191" s="15">
        <v>5.1499999999999997E-2</v>
      </c>
      <c r="E191" s="6">
        <v>0.12859999999999999</v>
      </c>
      <c r="F191" s="14">
        <v>0.2651</v>
      </c>
      <c r="G191" s="6">
        <v>8.3699999999999997E-2</v>
      </c>
      <c r="H191" s="6">
        <v>0.19650000000000001</v>
      </c>
      <c r="I191" s="7">
        <v>2.27</v>
      </c>
    </row>
    <row r="192" spans="1:9" ht="15" thickBot="1" x14ac:dyDescent="0.35">
      <c r="A192" s="2" t="s">
        <v>190</v>
      </c>
      <c r="B192" s="12">
        <v>7.8</v>
      </c>
      <c r="C192" s="10">
        <v>36.204999999999998</v>
      </c>
      <c r="D192" s="15">
        <v>5.4100000000000002E-2</v>
      </c>
      <c r="E192" s="8">
        <v>3.1699999999999999E-2</v>
      </c>
      <c r="F192" s="6">
        <v>0.1573</v>
      </c>
      <c r="G192" s="8">
        <v>1.17E-2</v>
      </c>
      <c r="H192" s="6">
        <v>0.12720000000000001</v>
      </c>
      <c r="I192" s="12">
        <v>0.75</v>
      </c>
    </row>
    <row r="193" spans="1:9" ht="15" thickBot="1" x14ac:dyDescent="0.35">
      <c r="A193" s="2" t="s">
        <v>191</v>
      </c>
      <c r="B193" s="12">
        <v>7.74</v>
      </c>
      <c r="C193" s="13">
        <v>10.039</v>
      </c>
      <c r="D193" s="19">
        <v>0.1618</v>
      </c>
      <c r="E193" s="5" t="s">
        <v>463</v>
      </c>
      <c r="F193" s="5" t="s">
        <v>464</v>
      </c>
      <c r="G193" s="11" t="s">
        <v>465</v>
      </c>
      <c r="H193" s="11" t="s">
        <v>466</v>
      </c>
      <c r="I193" s="7">
        <v>3.45</v>
      </c>
    </row>
    <row r="194" spans="1:9" ht="15" thickBot="1" x14ac:dyDescent="0.35">
      <c r="A194" s="2" t="s">
        <v>192</v>
      </c>
      <c r="B194" s="12">
        <v>7.53</v>
      </c>
      <c r="C194" s="3">
        <v>5.6740000000000004</v>
      </c>
      <c r="D194" s="15">
        <v>7.9699999999999993E-2</v>
      </c>
      <c r="E194" s="6">
        <v>0.1239</v>
      </c>
      <c r="F194" s="5" t="s">
        <v>467</v>
      </c>
      <c r="G194" s="8">
        <v>6.7000000000000002E-3</v>
      </c>
      <c r="H194" s="8">
        <v>8.8200000000000001E-2</v>
      </c>
      <c r="I194" s="7">
        <v>2.38</v>
      </c>
    </row>
    <row r="195" spans="1:9" ht="15" thickBot="1" x14ac:dyDescent="0.35">
      <c r="A195" s="2" t="s">
        <v>193</v>
      </c>
      <c r="B195" s="12">
        <v>7.38</v>
      </c>
      <c r="C195" s="3">
        <v>6.952</v>
      </c>
      <c r="D195" s="4">
        <v>3.1300000000000001E-2</v>
      </c>
      <c r="E195" s="11" t="s">
        <v>468</v>
      </c>
      <c r="F195" s="11" t="s">
        <v>469</v>
      </c>
      <c r="G195" s="11" t="s">
        <v>470</v>
      </c>
      <c r="H195" s="5" t="s">
        <v>471</v>
      </c>
      <c r="I195" s="9">
        <v>1.27</v>
      </c>
    </row>
    <row r="196" spans="1:9" ht="15" thickBot="1" x14ac:dyDescent="0.35">
      <c r="A196" s="2" t="s">
        <v>194</v>
      </c>
      <c r="B196" s="12">
        <v>7.3</v>
      </c>
      <c r="C196" s="13">
        <v>10.94</v>
      </c>
      <c r="D196" s="4">
        <v>4.1700000000000001E-2</v>
      </c>
      <c r="E196" s="5" t="s">
        <v>286</v>
      </c>
      <c r="F196" s="8">
        <v>2.7000000000000001E-3</v>
      </c>
      <c r="G196" s="11" t="s">
        <v>464</v>
      </c>
      <c r="H196" s="8">
        <v>4.2900000000000001E-2</v>
      </c>
      <c r="I196" s="7">
        <v>3.15</v>
      </c>
    </row>
    <row r="197" spans="1:9" ht="15" thickBot="1" x14ac:dyDescent="0.35">
      <c r="A197" s="2" t="s">
        <v>195</v>
      </c>
      <c r="B197" s="12">
        <v>7.28</v>
      </c>
      <c r="C197" s="3">
        <v>5.5259999999999998</v>
      </c>
      <c r="D197" s="15">
        <v>7.6499999999999999E-2</v>
      </c>
      <c r="E197" s="6">
        <v>6.4299999999999996E-2</v>
      </c>
      <c r="F197" s="6">
        <v>0.1217</v>
      </c>
      <c r="G197" s="5" t="s">
        <v>472</v>
      </c>
      <c r="H197" s="6">
        <v>0.16289999999999999</v>
      </c>
      <c r="I197" s="7">
        <v>2.4</v>
      </c>
    </row>
    <row r="198" spans="1:9" ht="15" thickBot="1" x14ac:dyDescent="0.35">
      <c r="A198" s="2" t="s">
        <v>196</v>
      </c>
      <c r="B198" s="12">
        <v>7.2</v>
      </c>
      <c r="C198" s="3">
        <v>8.8179999999999996</v>
      </c>
      <c r="D198" s="19">
        <v>0.14349999999999999</v>
      </c>
      <c r="E198" s="11" t="s">
        <v>473</v>
      </c>
      <c r="F198" s="14">
        <v>1.3150999999999999</v>
      </c>
      <c r="G198" s="14">
        <v>0.28570000000000001</v>
      </c>
      <c r="H198" s="14">
        <v>1.0570999999999999</v>
      </c>
      <c r="I198" s="7">
        <v>10.029999999999999</v>
      </c>
    </row>
    <row r="199" spans="1:9" ht="15" thickBot="1" x14ac:dyDescent="0.35">
      <c r="A199" s="2" t="s">
        <v>197</v>
      </c>
      <c r="B199" s="12">
        <v>6.63</v>
      </c>
      <c r="C199" s="3">
        <v>8.0050000000000008</v>
      </c>
      <c r="D199" s="15">
        <v>6.9199999999999998E-2</v>
      </c>
      <c r="E199" s="6">
        <v>5.74E-2</v>
      </c>
      <c r="F199" s="5" t="s">
        <v>474</v>
      </c>
      <c r="G199" s="5" t="s">
        <v>314</v>
      </c>
      <c r="H199" s="8">
        <v>1.5299999999999999E-2</v>
      </c>
      <c r="I199" s="7">
        <v>2.87</v>
      </c>
    </row>
    <row r="200" spans="1:9" ht="15" thickBot="1" x14ac:dyDescent="0.35">
      <c r="A200" s="2" t="s">
        <v>198</v>
      </c>
      <c r="B200" s="12">
        <v>6.6</v>
      </c>
      <c r="C200" s="13">
        <v>16.593</v>
      </c>
      <c r="D200" s="15">
        <v>6.4399999999999999E-2</v>
      </c>
      <c r="E200" s="6">
        <v>9.6299999999999997E-2</v>
      </c>
      <c r="F200" s="8">
        <v>2.64E-2</v>
      </c>
      <c r="G200" s="8">
        <v>9.1999999999999998E-3</v>
      </c>
      <c r="H200" s="5" t="s">
        <v>475</v>
      </c>
      <c r="I200" s="7">
        <v>2.0099999999999998</v>
      </c>
    </row>
    <row r="201" spans="1:9" ht="15" thickBot="1" x14ac:dyDescent="0.35">
      <c r="A201" s="2" t="s">
        <v>199</v>
      </c>
      <c r="B201" s="12">
        <v>6.42</v>
      </c>
      <c r="C201" s="10">
        <v>41.936</v>
      </c>
      <c r="D201" s="15">
        <v>8.4599999999999995E-2</v>
      </c>
      <c r="E201" s="6">
        <v>0.17369999999999999</v>
      </c>
      <c r="F201" s="11" t="s">
        <v>476</v>
      </c>
      <c r="G201" s="8">
        <v>1.9E-2</v>
      </c>
      <c r="H201" s="11" t="s">
        <v>477</v>
      </c>
      <c r="I201" s="9">
        <v>1.93</v>
      </c>
    </row>
    <row r="202" spans="1:9" ht="15" thickBot="1" x14ac:dyDescent="0.35">
      <c r="A202" s="2" t="s">
        <v>200</v>
      </c>
      <c r="B202" s="12">
        <v>6.14</v>
      </c>
      <c r="C202" s="13">
        <v>14.603</v>
      </c>
      <c r="D202" s="19">
        <v>0.1401</v>
      </c>
      <c r="E202" s="6">
        <v>0.1477</v>
      </c>
      <c r="F202" s="6">
        <v>0.24540000000000001</v>
      </c>
      <c r="G202" s="6">
        <v>9.4500000000000001E-2</v>
      </c>
      <c r="H202" s="14">
        <v>0.26340000000000002</v>
      </c>
      <c r="I202" s="7">
        <v>2.54</v>
      </c>
    </row>
    <row r="203" spans="1:9" ht="15" thickBot="1" x14ac:dyDescent="0.35">
      <c r="A203" s="2" t="s">
        <v>201</v>
      </c>
      <c r="B203" s="12">
        <v>5.74</v>
      </c>
      <c r="C203" s="13">
        <v>21.492000000000001</v>
      </c>
      <c r="D203" s="4">
        <v>2.8500000000000001E-2</v>
      </c>
      <c r="E203" s="8">
        <v>4.36E-2</v>
      </c>
      <c r="F203" s="6">
        <v>0.2034</v>
      </c>
      <c r="G203" s="6">
        <v>5.5100000000000003E-2</v>
      </c>
      <c r="H203" s="6">
        <v>0.12330000000000001</v>
      </c>
      <c r="I203" s="9">
        <v>1.0900000000000001</v>
      </c>
    </row>
    <row r="204" spans="1:9" ht="15" thickBot="1" x14ac:dyDescent="0.35">
      <c r="A204" s="2" t="s">
        <v>202</v>
      </c>
      <c r="B204" s="12">
        <v>5.73</v>
      </c>
      <c r="C204" s="3">
        <v>7.2460000000000004</v>
      </c>
      <c r="D204" s="19">
        <v>0.24099999999999999</v>
      </c>
      <c r="E204" s="14">
        <v>2.1484000000000001</v>
      </c>
      <c r="F204" s="14">
        <v>2.0806</v>
      </c>
      <c r="G204" s="14">
        <v>2.0973000000000002</v>
      </c>
      <c r="H204" s="14">
        <v>2.3509000000000002</v>
      </c>
      <c r="I204" s="7">
        <v>3.23</v>
      </c>
    </row>
    <row r="205" spans="1:9" ht="15" thickBot="1" x14ac:dyDescent="0.35">
      <c r="A205" s="2" t="s">
        <v>203</v>
      </c>
      <c r="B205" s="12">
        <v>5.69</v>
      </c>
      <c r="C205" s="3">
        <v>5.7389999999999999</v>
      </c>
      <c r="D205" s="19">
        <v>0.15229999999999999</v>
      </c>
      <c r="E205" s="11" t="s">
        <v>478</v>
      </c>
      <c r="F205" s="14">
        <v>1.0690999999999999</v>
      </c>
      <c r="G205" s="8">
        <v>1.8E-3</v>
      </c>
      <c r="H205" s="14">
        <v>1.1635</v>
      </c>
      <c r="I205" s="12" t="s">
        <v>479</v>
      </c>
    </row>
    <row r="206" spans="1:9" ht="15" thickBot="1" x14ac:dyDescent="0.35">
      <c r="A206" s="2" t="s">
        <v>204</v>
      </c>
      <c r="B206" s="12">
        <v>5.48</v>
      </c>
      <c r="C206" s="3">
        <v>5.3849999999999998</v>
      </c>
      <c r="D206" s="4">
        <v>4.7300000000000002E-2</v>
      </c>
      <c r="E206" s="8">
        <v>1.8E-3</v>
      </c>
      <c r="F206" s="5" t="s">
        <v>480</v>
      </c>
      <c r="G206" s="11" t="s">
        <v>481</v>
      </c>
      <c r="H206" s="11" t="s">
        <v>482</v>
      </c>
      <c r="I206" s="9">
        <v>1.25</v>
      </c>
    </row>
    <row r="207" spans="1:9" ht="15" thickBot="1" x14ac:dyDescent="0.35">
      <c r="A207" s="2" t="s">
        <v>205</v>
      </c>
      <c r="B207" s="12">
        <v>5.32</v>
      </c>
      <c r="C207" s="3">
        <v>6.1289999999999996</v>
      </c>
      <c r="D207" s="15">
        <v>5.21E-2</v>
      </c>
      <c r="E207" s="8">
        <v>3.6999999999999998E-2</v>
      </c>
      <c r="F207" s="5" t="s">
        <v>483</v>
      </c>
      <c r="G207" s="11" t="s">
        <v>484</v>
      </c>
      <c r="H207" s="6">
        <v>0.12709999999999999</v>
      </c>
      <c r="I207" s="7">
        <v>2.37</v>
      </c>
    </row>
    <row r="208" spans="1:9" ht="15" thickBot="1" x14ac:dyDescent="0.35">
      <c r="A208" s="2" t="s">
        <v>206</v>
      </c>
      <c r="B208" s="12">
        <v>5.23</v>
      </c>
      <c r="C208" s="3">
        <v>7.3959999999999999</v>
      </c>
      <c r="D208" s="15">
        <v>6.7599999999999993E-2</v>
      </c>
      <c r="E208" s="8">
        <v>2.75E-2</v>
      </c>
      <c r="F208" s="11" t="s">
        <v>485</v>
      </c>
      <c r="G208" s="11" t="s">
        <v>486</v>
      </c>
      <c r="H208" s="11" t="s">
        <v>487</v>
      </c>
      <c r="I208" s="7">
        <v>2.0099999999999998</v>
      </c>
    </row>
    <row r="209" spans="1:9" ht="15" thickBot="1" x14ac:dyDescent="0.35">
      <c r="A209" s="2" t="s">
        <v>207</v>
      </c>
      <c r="B209" s="12">
        <v>5.03</v>
      </c>
      <c r="C209" s="3">
        <v>7.42</v>
      </c>
      <c r="D209" s="19">
        <v>0.1313</v>
      </c>
      <c r="E209" s="14">
        <v>0.433</v>
      </c>
      <c r="F209" s="14">
        <v>1.276</v>
      </c>
      <c r="G209" s="14">
        <v>0.55249999999999999</v>
      </c>
      <c r="H209" s="14">
        <v>1.6474</v>
      </c>
      <c r="I209" s="9">
        <v>1.48</v>
      </c>
    </row>
    <row r="210" spans="1:9" ht="15" thickBot="1" x14ac:dyDescent="0.35">
      <c r="A210" s="2" t="s">
        <v>208</v>
      </c>
      <c r="B210" s="12">
        <v>5.03</v>
      </c>
      <c r="C210" s="3">
        <v>6.6630000000000003</v>
      </c>
      <c r="D210" s="4">
        <v>2.6100000000000002E-2</v>
      </c>
      <c r="E210" s="8">
        <v>0.01</v>
      </c>
      <c r="F210" s="5" t="s">
        <v>488</v>
      </c>
      <c r="G210" s="5" t="s">
        <v>489</v>
      </c>
      <c r="H210" s="5" t="s">
        <v>402</v>
      </c>
      <c r="I210" s="9">
        <v>1.32</v>
      </c>
    </row>
    <row r="211" spans="1:9" ht="15" thickBot="1" x14ac:dyDescent="0.35">
      <c r="A211" s="2" t="s">
        <v>209</v>
      </c>
      <c r="B211" s="12">
        <v>4.8</v>
      </c>
      <c r="C211" s="3">
        <v>5.3150000000000004</v>
      </c>
      <c r="D211" s="15">
        <v>5.4100000000000002E-2</v>
      </c>
      <c r="E211" s="5" t="s">
        <v>408</v>
      </c>
      <c r="F211" s="8">
        <v>2.0999999999999999E-3</v>
      </c>
      <c r="G211" s="11" t="s">
        <v>480</v>
      </c>
      <c r="H211" s="8">
        <v>3.4500000000000003E-2</v>
      </c>
      <c r="I211" s="9">
        <v>1.6</v>
      </c>
    </row>
    <row r="212" spans="1:9" ht="15" thickBot="1" x14ac:dyDescent="0.35">
      <c r="A212" s="2" t="s">
        <v>210</v>
      </c>
      <c r="B212" s="12">
        <v>4.74</v>
      </c>
      <c r="C212" s="10">
        <v>27.994</v>
      </c>
      <c r="D212" s="19">
        <v>0.1293</v>
      </c>
      <c r="E212" s="6">
        <v>9.2200000000000004E-2</v>
      </c>
      <c r="F212" s="14">
        <v>0.36990000000000001</v>
      </c>
      <c r="G212" s="20" t="s">
        <v>490</v>
      </c>
      <c r="H212" s="6">
        <v>0.22159999999999999</v>
      </c>
      <c r="I212" s="7">
        <v>2.04</v>
      </c>
    </row>
    <row r="213" spans="1:9" ht="15" thickBot="1" x14ac:dyDescent="0.35">
      <c r="A213" s="2" t="s">
        <v>211</v>
      </c>
      <c r="B213" s="12">
        <v>4.71</v>
      </c>
      <c r="C213" s="13">
        <v>17.867000000000001</v>
      </c>
      <c r="D213" s="19">
        <v>0.16830000000000001</v>
      </c>
      <c r="E213" s="14">
        <v>0.28689999999999999</v>
      </c>
      <c r="F213" s="14">
        <v>0.54430000000000001</v>
      </c>
      <c r="G213" s="14">
        <v>0.2046</v>
      </c>
      <c r="H213" s="14">
        <v>0.62409999999999999</v>
      </c>
      <c r="I213" s="12">
        <v>0.56999999999999995</v>
      </c>
    </row>
    <row r="214" spans="1:9" ht="15" thickBot="1" x14ac:dyDescent="0.35">
      <c r="A214" s="2" t="s">
        <v>212</v>
      </c>
      <c r="B214" s="12">
        <v>4.47</v>
      </c>
      <c r="C214" s="3">
        <v>5.3460000000000001</v>
      </c>
      <c r="D214" s="15">
        <v>9.4700000000000006E-2</v>
      </c>
      <c r="E214" s="8">
        <v>2.76E-2</v>
      </c>
      <c r="F214" s="14">
        <v>0.31859999999999999</v>
      </c>
      <c r="G214" s="6">
        <v>0.10920000000000001</v>
      </c>
      <c r="H214" s="14">
        <v>0.79520000000000002</v>
      </c>
      <c r="I214" s="7">
        <v>2.88</v>
      </c>
    </row>
    <row r="215" spans="1:9" ht="15" thickBot="1" x14ac:dyDescent="0.35">
      <c r="A215" s="2" t="s">
        <v>213</v>
      </c>
      <c r="B215" s="12">
        <v>4.41</v>
      </c>
      <c r="C215" s="13">
        <v>15.457000000000001</v>
      </c>
      <c r="D215" s="19">
        <v>0.1152</v>
      </c>
      <c r="E215" s="6">
        <v>9.98E-2</v>
      </c>
      <c r="F215" s="5" t="s">
        <v>491</v>
      </c>
      <c r="G215" s="5" t="s">
        <v>492</v>
      </c>
      <c r="H215" s="5" t="s">
        <v>493</v>
      </c>
      <c r="I215" s="7">
        <v>2.6</v>
      </c>
    </row>
    <row r="216" spans="1:9" ht="15" thickBot="1" x14ac:dyDescent="0.35">
      <c r="A216" s="2" t="s">
        <v>214</v>
      </c>
      <c r="B216" s="12">
        <v>4.33</v>
      </c>
      <c r="C216" s="3">
        <v>8.9450000000000003</v>
      </c>
      <c r="D216" s="15">
        <v>5.21E-2</v>
      </c>
      <c r="E216" s="8">
        <v>1.6400000000000001E-2</v>
      </c>
      <c r="F216" s="8">
        <v>5.3499999999999999E-2</v>
      </c>
      <c r="G216" s="11" t="s">
        <v>494</v>
      </c>
      <c r="H216" s="8">
        <v>9.9000000000000005E-2</v>
      </c>
      <c r="I216" s="9">
        <v>1.54</v>
      </c>
    </row>
    <row r="217" spans="1:9" ht="15" thickBot="1" x14ac:dyDescent="0.35">
      <c r="A217" s="2" t="s">
        <v>215</v>
      </c>
      <c r="B217" s="12">
        <v>4.2699999999999996</v>
      </c>
      <c r="C217" s="13">
        <v>18.263999999999999</v>
      </c>
      <c r="D217" s="4">
        <v>4.87E-2</v>
      </c>
      <c r="E217" s="6">
        <v>0.1149</v>
      </c>
      <c r="F217" s="6">
        <v>0.19939999999999999</v>
      </c>
      <c r="G217" s="6">
        <v>0.1326</v>
      </c>
      <c r="H217" s="14">
        <v>0.22700000000000001</v>
      </c>
      <c r="I217" s="12">
        <v>0.83</v>
      </c>
    </row>
    <row r="218" spans="1:9" ht="15" thickBot="1" x14ac:dyDescent="0.35">
      <c r="A218" s="2" t="s">
        <v>216</v>
      </c>
      <c r="B218" s="12">
        <v>4.2300000000000004</v>
      </c>
      <c r="C218" s="3">
        <v>8.3390000000000004</v>
      </c>
      <c r="D218" s="15">
        <v>8.4500000000000006E-2</v>
      </c>
      <c r="E218" s="11" t="s">
        <v>495</v>
      </c>
      <c r="F218" s="5" t="s">
        <v>496</v>
      </c>
      <c r="G218" s="11" t="s">
        <v>497</v>
      </c>
      <c r="H218" s="5" t="s">
        <v>498</v>
      </c>
      <c r="I218" s="7">
        <v>2.86</v>
      </c>
    </row>
    <row r="219" spans="1:9" ht="15" thickBot="1" x14ac:dyDescent="0.35">
      <c r="A219" s="2" t="s">
        <v>217</v>
      </c>
      <c r="B219" s="12">
        <v>3.98</v>
      </c>
      <c r="C219" s="10">
        <v>27.166</v>
      </c>
      <c r="D219" s="19">
        <v>0.19570000000000001</v>
      </c>
      <c r="E219" s="14">
        <v>0.3584</v>
      </c>
      <c r="F219" s="14">
        <v>0.50760000000000005</v>
      </c>
      <c r="G219" s="14">
        <v>0.26750000000000002</v>
      </c>
      <c r="H219" s="14">
        <v>0.73040000000000005</v>
      </c>
      <c r="I219" s="7">
        <v>3.71</v>
      </c>
    </row>
    <row r="220" spans="1:9" ht="15" thickBot="1" x14ac:dyDescent="0.35">
      <c r="A220" s="2" t="s">
        <v>218</v>
      </c>
      <c r="B220" s="12">
        <v>3.95</v>
      </c>
      <c r="C220" s="3">
        <v>6.0830000000000002</v>
      </c>
      <c r="D220" s="4">
        <v>4.8500000000000001E-2</v>
      </c>
      <c r="E220" s="6">
        <v>7.3400000000000007E-2</v>
      </c>
      <c r="F220" s="5" t="s">
        <v>499</v>
      </c>
      <c r="G220" s="11" t="s">
        <v>500</v>
      </c>
      <c r="H220" s="8">
        <v>3.1300000000000001E-2</v>
      </c>
      <c r="I220" s="7">
        <v>2.82</v>
      </c>
    </row>
    <row r="221" spans="1:9" ht="15" thickBot="1" x14ac:dyDescent="0.35">
      <c r="A221" s="2" t="s">
        <v>219</v>
      </c>
      <c r="B221" s="12">
        <v>3.62</v>
      </c>
      <c r="C221" s="3">
        <v>9.4559999999999995</v>
      </c>
      <c r="D221" s="19">
        <v>0.10829999999999999</v>
      </c>
      <c r="E221" s="11" t="s">
        <v>501</v>
      </c>
      <c r="F221" s="11" t="s">
        <v>502</v>
      </c>
      <c r="G221" s="11" t="s">
        <v>503</v>
      </c>
      <c r="H221" s="5" t="s">
        <v>504</v>
      </c>
      <c r="I221" s="9">
        <v>1.98</v>
      </c>
    </row>
    <row r="222" spans="1:9" ht="15" thickBot="1" x14ac:dyDescent="0.35">
      <c r="A222" s="2" t="s">
        <v>220</v>
      </c>
      <c r="B222" s="12">
        <v>3.41</v>
      </c>
      <c r="C222" s="3">
        <v>5.87</v>
      </c>
      <c r="D222" s="4">
        <v>2.9899999999999999E-2</v>
      </c>
      <c r="E222" s="18">
        <v>0</v>
      </c>
      <c r="F222" s="14">
        <v>0.31659999999999999</v>
      </c>
      <c r="G222" s="8">
        <v>3.0200000000000001E-2</v>
      </c>
      <c r="H222" s="14">
        <v>0.29170000000000001</v>
      </c>
      <c r="I222" s="9">
        <v>1.91</v>
      </c>
    </row>
    <row r="223" spans="1:9" ht="15" thickBot="1" x14ac:dyDescent="0.35">
      <c r="A223" s="2" t="s">
        <v>221</v>
      </c>
      <c r="B223" s="12">
        <v>3.39</v>
      </c>
      <c r="C223" s="3">
        <v>6.4989999999999997</v>
      </c>
      <c r="D223" s="4">
        <v>3.7499999999999999E-2</v>
      </c>
      <c r="E223" s="11" t="s">
        <v>505</v>
      </c>
      <c r="F223" s="8">
        <v>1.4999999999999999E-2</v>
      </c>
      <c r="G223" s="11" t="s">
        <v>506</v>
      </c>
      <c r="H223" s="8">
        <v>5.7700000000000001E-2</v>
      </c>
      <c r="I223" s="12">
        <v>0.51</v>
      </c>
    </row>
    <row r="224" spans="1:9" ht="15" thickBot="1" x14ac:dyDescent="0.35">
      <c r="A224" s="2" t="s">
        <v>222</v>
      </c>
      <c r="B224" s="12">
        <v>3.25</v>
      </c>
      <c r="C224" s="13">
        <v>21.599</v>
      </c>
      <c r="D224" s="4">
        <v>2.18E-2</v>
      </c>
      <c r="E224" s="8">
        <v>1.5599999999999999E-2</v>
      </c>
      <c r="F224" s="8">
        <v>9.06E-2</v>
      </c>
      <c r="G224" s="5" t="s">
        <v>507</v>
      </c>
      <c r="H224" s="8">
        <v>8.3299999999999999E-2</v>
      </c>
      <c r="I224" s="9">
        <v>1.38</v>
      </c>
    </row>
    <row r="225" spans="1:9" ht="15" thickBot="1" x14ac:dyDescent="0.35">
      <c r="A225" s="2" t="s">
        <v>223</v>
      </c>
      <c r="B225" s="12">
        <v>3.19</v>
      </c>
      <c r="C225" s="3">
        <v>8.3529999999999998</v>
      </c>
      <c r="D225" s="15">
        <v>5.21E-2</v>
      </c>
      <c r="E225" s="8">
        <v>3.2399999999999998E-2</v>
      </c>
      <c r="F225" s="8">
        <v>2.9000000000000001E-2</v>
      </c>
      <c r="G225" s="5" t="s">
        <v>365</v>
      </c>
      <c r="H225" s="5" t="s">
        <v>508</v>
      </c>
      <c r="I225" s="9">
        <v>1.96</v>
      </c>
    </row>
    <row r="226" spans="1:9" ht="15" thickBot="1" x14ac:dyDescent="0.35">
      <c r="A226" s="2" t="s">
        <v>224</v>
      </c>
      <c r="B226" s="12">
        <v>3.11</v>
      </c>
      <c r="C226" s="3">
        <v>7.7489999999999997</v>
      </c>
      <c r="D226" s="4">
        <v>3.6400000000000002E-2</v>
      </c>
      <c r="E226" s="5" t="s">
        <v>309</v>
      </c>
      <c r="F226" s="5" t="s">
        <v>509</v>
      </c>
      <c r="G226" s="5" t="s">
        <v>293</v>
      </c>
      <c r="H226" s="5" t="s">
        <v>376</v>
      </c>
      <c r="I226" s="12">
        <v>0.51</v>
      </c>
    </row>
    <row r="227" spans="1:9" ht="15" thickBot="1" x14ac:dyDescent="0.35">
      <c r="A227" s="2" t="s">
        <v>225</v>
      </c>
      <c r="B227" s="12">
        <v>3.1</v>
      </c>
      <c r="C227" s="3">
        <v>7.423</v>
      </c>
      <c r="D227" s="19">
        <v>0.10100000000000001</v>
      </c>
      <c r="E227" s="11" t="s">
        <v>510</v>
      </c>
      <c r="F227" s="20" t="s">
        <v>511</v>
      </c>
      <c r="G227" s="20" t="s">
        <v>512</v>
      </c>
      <c r="H227" s="11" t="s">
        <v>513</v>
      </c>
      <c r="I227" s="7">
        <v>2.08</v>
      </c>
    </row>
    <row r="228" spans="1:9" ht="15" thickBot="1" x14ac:dyDescent="0.35">
      <c r="A228" s="2" t="s">
        <v>226</v>
      </c>
      <c r="B228" s="12">
        <v>2.93</v>
      </c>
      <c r="C228" s="3">
        <v>8.1539999999999999</v>
      </c>
      <c r="D228" s="19">
        <v>0.1144</v>
      </c>
      <c r="E228" s="11" t="s">
        <v>514</v>
      </c>
      <c r="F228" s="14">
        <v>0.49490000000000001</v>
      </c>
      <c r="G228" s="5" t="s">
        <v>392</v>
      </c>
      <c r="H228" s="14">
        <v>0.25750000000000001</v>
      </c>
      <c r="I228" s="9">
        <v>1.28</v>
      </c>
    </row>
    <row r="229" spans="1:9" ht="15" thickBot="1" x14ac:dyDescent="0.35">
      <c r="A229" s="2" t="s">
        <v>227</v>
      </c>
      <c r="B229" s="12">
        <v>2.81</v>
      </c>
      <c r="C229" s="3">
        <v>5.6289999999999996</v>
      </c>
      <c r="D229" s="4">
        <v>2.86E-2</v>
      </c>
      <c r="E229" s="8">
        <v>1.8100000000000002E-2</v>
      </c>
      <c r="F229" s="5" t="s">
        <v>515</v>
      </c>
      <c r="G229" s="5" t="s">
        <v>516</v>
      </c>
      <c r="H229" s="5" t="s">
        <v>517</v>
      </c>
      <c r="I229" s="9">
        <v>1.24</v>
      </c>
    </row>
    <row r="230" spans="1:9" ht="15" thickBot="1" x14ac:dyDescent="0.35">
      <c r="A230" s="2" t="s">
        <v>228</v>
      </c>
      <c r="B230" s="12">
        <v>2.73</v>
      </c>
      <c r="C230" s="3">
        <v>5.0830000000000002</v>
      </c>
      <c r="D230" s="15">
        <v>6.2E-2</v>
      </c>
      <c r="E230" s="14">
        <v>0.28170000000000001</v>
      </c>
      <c r="F230" s="8">
        <v>6.6400000000000001E-2</v>
      </c>
      <c r="G230" s="6">
        <v>8.3299999999999999E-2</v>
      </c>
      <c r="H230" s="6">
        <v>0.15679999999999999</v>
      </c>
      <c r="I230" s="7">
        <v>2.86</v>
      </c>
    </row>
    <row r="231" spans="1:9" ht="15" thickBot="1" x14ac:dyDescent="0.35">
      <c r="A231" s="2" t="s">
        <v>229</v>
      </c>
      <c r="B231" s="12">
        <v>2.57</v>
      </c>
      <c r="C231" s="3">
        <v>5.8319999999999999</v>
      </c>
      <c r="D231" s="15">
        <v>6.8500000000000005E-2</v>
      </c>
      <c r="E231" s="6">
        <v>7.7600000000000002E-2</v>
      </c>
      <c r="F231" s="14">
        <v>0.82269999999999999</v>
      </c>
      <c r="G231" s="8">
        <v>3.6299999999999999E-2</v>
      </c>
      <c r="H231" s="14">
        <v>0.90369999999999995</v>
      </c>
      <c r="I231" s="7">
        <v>2.16</v>
      </c>
    </row>
    <row r="232" spans="1:9" ht="15" thickBot="1" x14ac:dyDescent="0.35">
      <c r="A232" s="2" t="s">
        <v>230</v>
      </c>
      <c r="B232" s="12">
        <v>2.2999999999999998</v>
      </c>
      <c r="C232" s="3">
        <v>7.0090000000000003</v>
      </c>
      <c r="D232" s="15">
        <v>7.1400000000000005E-2</v>
      </c>
      <c r="E232" s="5" t="s">
        <v>518</v>
      </c>
      <c r="F232" s="8">
        <v>4.07E-2</v>
      </c>
      <c r="G232" s="11" t="s">
        <v>519</v>
      </c>
      <c r="H232" s="5" t="s">
        <v>520</v>
      </c>
      <c r="I232" s="7">
        <v>3.37</v>
      </c>
    </row>
    <row r="233" spans="1:9" ht="15" thickBot="1" x14ac:dyDescent="0.35">
      <c r="A233" s="2" t="s">
        <v>231</v>
      </c>
      <c r="B233" s="12">
        <v>2.25</v>
      </c>
      <c r="C233" s="3">
        <v>9.24</v>
      </c>
      <c r="D233" s="19">
        <v>0.18110000000000001</v>
      </c>
      <c r="E233" s="14">
        <v>0.38040000000000002</v>
      </c>
      <c r="F233" s="14">
        <v>0.78569999999999995</v>
      </c>
      <c r="G233" s="14">
        <v>0.26400000000000001</v>
      </c>
      <c r="H233" s="14">
        <v>0.85950000000000004</v>
      </c>
      <c r="I233" s="9">
        <v>1.88</v>
      </c>
    </row>
    <row r="234" spans="1:9" ht="15" thickBot="1" x14ac:dyDescent="0.35">
      <c r="A234" s="2" t="s">
        <v>232</v>
      </c>
      <c r="B234" s="12">
        <v>2.1800000000000002</v>
      </c>
      <c r="C234" s="10">
        <v>27.867000000000001</v>
      </c>
      <c r="D234" s="15">
        <v>9.5000000000000001E-2</v>
      </c>
      <c r="E234" s="6">
        <v>0.1978</v>
      </c>
      <c r="F234" s="6">
        <v>0.10100000000000001</v>
      </c>
      <c r="G234" s="8">
        <v>4.3099999999999999E-2</v>
      </c>
      <c r="H234" s="6">
        <v>0.15959999999999999</v>
      </c>
      <c r="I234" s="9">
        <v>1.85</v>
      </c>
    </row>
    <row r="235" spans="1:9" ht="15" thickBot="1" x14ac:dyDescent="0.35">
      <c r="A235" s="2" t="s">
        <v>233</v>
      </c>
      <c r="B235" s="12">
        <v>2.12</v>
      </c>
      <c r="C235" s="13">
        <v>15.144</v>
      </c>
      <c r="D235" s="4">
        <v>4.2700000000000002E-2</v>
      </c>
      <c r="E235" s="5" t="s">
        <v>521</v>
      </c>
      <c r="F235" s="18">
        <v>0</v>
      </c>
      <c r="G235" s="11" t="s">
        <v>522</v>
      </c>
      <c r="H235" s="8">
        <v>2.9100000000000001E-2</v>
      </c>
      <c r="I235" s="7">
        <v>2.0499999999999998</v>
      </c>
    </row>
    <row r="236" spans="1:9" ht="15" thickBot="1" x14ac:dyDescent="0.35">
      <c r="A236" s="2" t="s">
        <v>234</v>
      </c>
      <c r="B236" s="12">
        <v>1.98</v>
      </c>
      <c r="C236" s="13">
        <v>11.701000000000001</v>
      </c>
      <c r="D236" s="4">
        <v>4.7399999999999998E-2</v>
      </c>
      <c r="E236" s="6">
        <v>5.3199999999999997E-2</v>
      </c>
      <c r="F236" s="14">
        <v>0.27739999999999998</v>
      </c>
      <c r="G236" s="5" t="s">
        <v>321</v>
      </c>
      <c r="H236" s="14">
        <v>0.23749999999999999</v>
      </c>
      <c r="I236" s="7">
        <v>2.42</v>
      </c>
    </row>
    <row r="237" spans="1:9" ht="15" thickBot="1" x14ac:dyDescent="0.35">
      <c r="A237" s="2" t="s">
        <v>235</v>
      </c>
      <c r="B237" s="12">
        <v>1.92</v>
      </c>
      <c r="C237" s="3">
        <v>5.0730000000000004</v>
      </c>
      <c r="D237" s="19">
        <v>0.1192</v>
      </c>
      <c r="E237" s="5" t="s">
        <v>523</v>
      </c>
      <c r="F237" s="5" t="s">
        <v>524</v>
      </c>
      <c r="G237" s="11" t="s">
        <v>525</v>
      </c>
      <c r="H237" s="5" t="s">
        <v>526</v>
      </c>
      <c r="I237" s="9">
        <v>1.48</v>
      </c>
    </row>
    <row r="238" spans="1:9" ht="15" thickBot="1" x14ac:dyDescent="0.35">
      <c r="A238" s="2" t="s">
        <v>236</v>
      </c>
      <c r="B238" s="12">
        <v>1.82</v>
      </c>
      <c r="C238" s="10">
        <v>26.431999999999999</v>
      </c>
      <c r="D238" s="19">
        <v>0.16120000000000001</v>
      </c>
      <c r="E238" s="6">
        <v>7.0599999999999996E-2</v>
      </c>
      <c r="F238" s="6">
        <v>0.15190000000000001</v>
      </c>
      <c r="G238" s="5" t="s">
        <v>527</v>
      </c>
      <c r="H238" s="6">
        <v>0.17419999999999999</v>
      </c>
      <c r="I238" s="7">
        <v>2.2200000000000002</v>
      </c>
    </row>
    <row r="239" spans="1:9" ht="15" thickBot="1" x14ac:dyDescent="0.35">
      <c r="A239" s="2" t="s">
        <v>237</v>
      </c>
      <c r="B239" s="12">
        <v>1.71</v>
      </c>
      <c r="C239" s="3">
        <v>6.298</v>
      </c>
      <c r="D239" s="4">
        <v>4.24E-2</v>
      </c>
      <c r="E239" s="5" t="s">
        <v>528</v>
      </c>
      <c r="F239" s="8">
        <v>9.6199999999999994E-2</v>
      </c>
      <c r="G239" s="11" t="s">
        <v>529</v>
      </c>
      <c r="H239" s="6">
        <v>0.17929999999999999</v>
      </c>
      <c r="I239" s="9">
        <v>1.79</v>
      </c>
    </row>
    <row r="240" spans="1:9" ht="15" thickBot="1" x14ac:dyDescent="0.35">
      <c r="A240" s="2" t="s">
        <v>238</v>
      </c>
      <c r="B240" s="12">
        <v>1.58</v>
      </c>
      <c r="C240" s="13">
        <v>16.654</v>
      </c>
      <c r="D240" s="4">
        <v>3.9E-2</v>
      </c>
      <c r="E240" s="8">
        <v>3.95E-2</v>
      </c>
      <c r="F240" s="5" t="s">
        <v>530</v>
      </c>
      <c r="G240" s="8">
        <v>2.5999999999999999E-2</v>
      </c>
      <c r="H240" s="11" t="s">
        <v>531</v>
      </c>
      <c r="I240" s="9">
        <v>1.8</v>
      </c>
    </row>
    <row r="241" spans="1:9" ht="15" thickBot="1" x14ac:dyDescent="0.35">
      <c r="A241" s="2" t="s">
        <v>239</v>
      </c>
      <c r="B241" s="12">
        <v>1.44</v>
      </c>
      <c r="C241" s="3">
        <v>6.7569999999999997</v>
      </c>
      <c r="D241" s="19">
        <v>0.1069</v>
      </c>
      <c r="E241" s="6">
        <v>8.2699999999999996E-2</v>
      </c>
      <c r="F241" s="6">
        <v>0.1163</v>
      </c>
      <c r="G241" s="6">
        <v>5.8799999999999998E-2</v>
      </c>
      <c r="H241" s="14">
        <v>0.25219999999999998</v>
      </c>
      <c r="I241" s="9">
        <v>1.96</v>
      </c>
    </row>
    <row r="242" spans="1:9" ht="15" thickBot="1" x14ac:dyDescent="0.35">
      <c r="A242" s="2" t="s">
        <v>240</v>
      </c>
      <c r="B242" s="12">
        <v>1.39</v>
      </c>
      <c r="C242" s="3">
        <v>8.7560000000000002</v>
      </c>
      <c r="D242" s="19">
        <v>0.1022</v>
      </c>
      <c r="E242" s="20" t="s">
        <v>532</v>
      </c>
      <c r="F242" s="5" t="s">
        <v>533</v>
      </c>
      <c r="G242" s="11" t="s">
        <v>531</v>
      </c>
      <c r="H242" s="14">
        <v>0.25230000000000002</v>
      </c>
      <c r="I242" s="7">
        <v>2.08</v>
      </c>
    </row>
    <row r="243" spans="1:9" ht="15" thickBot="1" x14ac:dyDescent="0.35">
      <c r="A243" s="2" t="s">
        <v>241</v>
      </c>
      <c r="B243" s="12">
        <v>1.35</v>
      </c>
      <c r="C243" s="3">
        <v>9.5500000000000007</v>
      </c>
      <c r="D243" s="15">
        <v>7.0300000000000001E-2</v>
      </c>
      <c r="E243" s="8">
        <v>2.2700000000000001E-2</v>
      </c>
      <c r="F243" s="6">
        <v>0.1157</v>
      </c>
      <c r="G243" s="5" t="s">
        <v>350</v>
      </c>
      <c r="H243" s="8">
        <v>2.2700000000000001E-2</v>
      </c>
      <c r="I243" s="7">
        <v>2.09</v>
      </c>
    </row>
    <row r="244" spans="1:9" ht="15" thickBot="1" x14ac:dyDescent="0.35">
      <c r="A244" s="2" t="s">
        <v>242</v>
      </c>
      <c r="B244" s="12">
        <v>1.32</v>
      </c>
      <c r="C244" s="13">
        <v>15.167</v>
      </c>
      <c r="D244" s="19">
        <v>0.1048</v>
      </c>
      <c r="E244" s="6">
        <v>0.105</v>
      </c>
      <c r="F244" s="20" t="s">
        <v>534</v>
      </c>
      <c r="G244" s="11" t="s">
        <v>535</v>
      </c>
      <c r="H244" s="20" t="s">
        <v>536</v>
      </c>
      <c r="I244" s="9">
        <v>1.48</v>
      </c>
    </row>
    <row r="245" spans="1:9" ht="15" thickBot="1" x14ac:dyDescent="0.35">
      <c r="A245" s="2" t="s">
        <v>243</v>
      </c>
      <c r="B245" s="12">
        <v>1.21</v>
      </c>
      <c r="C245" s="3">
        <v>5.6029999999999998</v>
      </c>
      <c r="D245" s="4">
        <v>4.1399999999999999E-2</v>
      </c>
      <c r="E245" s="11" t="s">
        <v>537</v>
      </c>
      <c r="F245" s="5" t="s">
        <v>538</v>
      </c>
      <c r="G245" s="11" t="s">
        <v>539</v>
      </c>
      <c r="H245" s="5" t="s">
        <v>537</v>
      </c>
      <c r="I245" s="12">
        <v>0.89</v>
      </c>
    </row>
    <row r="246" spans="1:9" ht="15" thickBot="1" x14ac:dyDescent="0.35">
      <c r="A246" s="2" t="s">
        <v>244</v>
      </c>
      <c r="B246" s="12">
        <v>1.1599999999999999</v>
      </c>
      <c r="C246" s="10">
        <v>67.701999999999998</v>
      </c>
      <c r="D246" s="19">
        <v>0.1333</v>
      </c>
      <c r="E246" s="11" t="s">
        <v>540</v>
      </c>
      <c r="F246" s="14">
        <v>0.85899999999999999</v>
      </c>
      <c r="G246" s="11" t="s">
        <v>541</v>
      </c>
      <c r="H246" s="14">
        <v>0.88529999999999998</v>
      </c>
      <c r="I246" s="7">
        <v>2.11</v>
      </c>
    </row>
    <row r="247" spans="1:9" ht="15" thickBot="1" x14ac:dyDescent="0.35">
      <c r="A247" s="2" t="s">
        <v>245</v>
      </c>
      <c r="B247" s="12">
        <v>1.1399999999999999</v>
      </c>
      <c r="C247" s="3">
        <v>8.2609999999999992</v>
      </c>
      <c r="D247" s="15">
        <v>9.35E-2</v>
      </c>
      <c r="E247" s="8">
        <v>2.7E-2</v>
      </c>
      <c r="F247" s="8">
        <v>6.54E-2</v>
      </c>
      <c r="G247" s="11" t="s">
        <v>542</v>
      </c>
      <c r="H247" s="8">
        <v>4.5900000000000003E-2</v>
      </c>
      <c r="I247" s="7">
        <v>4.71</v>
      </c>
    </row>
    <row r="248" spans="1:9" ht="15" thickBot="1" x14ac:dyDescent="0.35">
      <c r="A248" s="2" t="s">
        <v>246</v>
      </c>
      <c r="B248" s="12">
        <v>0.87</v>
      </c>
      <c r="C248" s="13">
        <v>10.526</v>
      </c>
      <c r="D248" s="15">
        <v>6.0900000000000003E-2</v>
      </c>
      <c r="E248" s="5" t="s">
        <v>387</v>
      </c>
      <c r="F248" s="8">
        <v>2.9000000000000001E-2</v>
      </c>
      <c r="G248" s="8">
        <v>1.34E-2</v>
      </c>
      <c r="H248" s="5" t="s">
        <v>537</v>
      </c>
      <c r="I248" s="7">
        <v>2.0699999999999998</v>
      </c>
    </row>
    <row r="249" spans="1:9" ht="15" thickBot="1" x14ac:dyDescent="0.35">
      <c r="A249" s="2" t="s">
        <v>247</v>
      </c>
      <c r="B249" s="12">
        <v>0.8</v>
      </c>
      <c r="C249" s="13">
        <v>10.43</v>
      </c>
      <c r="D249" s="15">
        <v>7.4899999999999994E-2</v>
      </c>
      <c r="E249" s="8">
        <v>2.8999999999999998E-3</v>
      </c>
      <c r="F249" s="5" t="s">
        <v>543</v>
      </c>
      <c r="G249" s="11" t="s">
        <v>544</v>
      </c>
      <c r="H249" s="5" t="s">
        <v>545</v>
      </c>
      <c r="I249" s="7">
        <v>2.13</v>
      </c>
    </row>
    <row r="250" spans="1:9" ht="15" thickBot="1" x14ac:dyDescent="0.35">
      <c r="A250" s="2" t="s">
        <v>248</v>
      </c>
      <c r="B250" s="12">
        <v>0.74</v>
      </c>
      <c r="C250" s="3">
        <v>9.0150000000000006</v>
      </c>
      <c r="D250" s="15">
        <v>8.4199999999999997E-2</v>
      </c>
      <c r="E250" s="11" t="s">
        <v>546</v>
      </c>
      <c r="F250" s="6">
        <v>0.14979999999999999</v>
      </c>
      <c r="G250" s="5" t="s">
        <v>293</v>
      </c>
      <c r="H250" s="6">
        <v>0.12239999999999999</v>
      </c>
      <c r="I250" s="9">
        <v>1.46</v>
      </c>
    </row>
    <row r="251" spans="1:9" ht="15" thickBot="1" x14ac:dyDescent="0.35">
      <c r="A251" s="2" t="s">
        <v>249</v>
      </c>
      <c r="B251" s="12">
        <v>0.57999999999999996</v>
      </c>
      <c r="C251" s="13">
        <v>10.662000000000001</v>
      </c>
      <c r="D251" s="15">
        <v>5.8400000000000001E-2</v>
      </c>
      <c r="E251" s="11" t="s">
        <v>547</v>
      </c>
      <c r="F251" s="11" t="s">
        <v>548</v>
      </c>
      <c r="G251" s="11" t="s">
        <v>549</v>
      </c>
      <c r="H251" s="11" t="s">
        <v>550</v>
      </c>
      <c r="I251" s="7">
        <v>2.97</v>
      </c>
    </row>
    <row r="252" spans="1:9" ht="15" thickBot="1" x14ac:dyDescent="0.35">
      <c r="A252" s="2" t="s">
        <v>250</v>
      </c>
      <c r="B252" s="12">
        <v>0.53</v>
      </c>
      <c r="C252" s="3">
        <v>6.98</v>
      </c>
      <c r="D252" s="19">
        <v>0.3503</v>
      </c>
      <c r="E252" s="20" t="s">
        <v>551</v>
      </c>
      <c r="F252" s="8">
        <v>3.5400000000000001E-2</v>
      </c>
      <c r="G252" s="11" t="s">
        <v>552</v>
      </c>
      <c r="H252" s="14">
        <v>0.2326</v>
      </c>
      <c r="I252" s="9">
        <v>1.46</v>
      </c>
    </row>
    <row r="253" spans="1:9" ht="15" thickBot="1" x14ac:dyDescent="0.35">
      <c r="A253" s="2" t="s">
        <v>251</v>
      </c>
      <c r="B253" s="12">
        <v>0.52</v>
      </c>
      <c r="C253" s="13">
        <v>10.53</v>
      </c>
      <c r="D253" s="15">
        <v>7.6100000000000001E-2</v>
      </c>
      <c r="E253" s="5" t="s">
        <v>363</v>
      </c>
      <c r="F253" s="6">
        <v>0.13930000000000001</v>
      </c>
      <c r="G253" s="11" t="s">
        <v>553</v>
      </c>
      <c r="H253" s="6">
        <v>0.16600000000000001</v>
      </c>
      <c r="I253" s="9">
        <v>1.84</v>
      </c>
    </row>
    <row r="254" spans="1:9" ht="15" thickBot="1" x14ac:dyDescent="0.35">
      <c r="A254" s="2" t="s">
        <v>252</v>
      </c>
      <c r="B254" s="12">
        <v>0.47</v>
      </c>
      <c r="C254" s="3">
        <v>9.33</v>
      </c>
      <c r="D254" s="19">
        <v>0.15529999999999999</v>
      </c>
      <c r="E254" s="11" t="s">
        <v>554</v>
      </c>
      <c r="F254" s="14">
        <v>0.82450000000000001</v>
      </c>
      <c r="G254" s="11" t="s">
        <v>495</v>
      </c>
      <c r="H254" s="14">
        <v>0.65259999999999996</v>
      </c>
      <c r="I254" s="7">
        <v>2.5099999999999998</v>
      </c>
    </row>
    <row r="255" spans="1:9" ht="15" thickBot="1" x14ac:dyDescent="0.35">
      <c r="A255" s="2" t="s">
        <v>253</v>
      </c>
      <c r="B255" s="12">
        <v>0.44</v>
      </c>
      <c r="C255" s="3">
        <v>6.6369999999999996</v>
      </c>
      <c r="D255" s="19">
        <v>0.1187</v>
      </c>
      <c r="E255" s="5" t="s">
        <v>446</v>
      </c>
      <c r="F255" s="8">
        <v>1.52E-2</v>
      </c>
      <c r="G255" s="11" t="s">
        <v>508</v>
      </c>
      <c r="H255" s="11" t="s">
        <v>555</v>
      </c>
      <c r="I255" s="12">
        <v>0.57999999999999996</v>
      </c>
    </row>
    <row r="256" spans="1:9" ht="15" thickBot="1" x14ac:dyDescent="0.35">
      <c r="A256" s="2" t="s">
        <v>254</v>
      </c>
      <c r="B256" s="12">
        <v>0.43</v>
      </c>
      <c r="C256" s="13">
        <v>23.879000000000001</v>
      </c>
      <c r="D256" s="15">
        <v>5.7099999999999998E-2</v>
      </c>
      <c r="E256" s="11" t="s">
        <v>556</v>
      </c>
      <c r="F256" s="11" t="s">
        <v>557</v>
      </c>
      <c r="G256" s="20" t="s">
        <v>558</v>
      </c>
      <c r="H256" s="20" t="s">
        <v>512</v>
      </c>
      <c r="I256" s="7">
        <v>2.73</v>
      </c>
    </row>
    <row r="257" spans="1:9" ht="15" thickBot="1" x14ac:dyDescent="0.35">
      <c r="A257" s="2" t="s">
        <v>255</v>
      </c>
      <c r="B257" s="12">
        <v>0.39</v>
      </c>
      <c r="C257" s="13">
        <v>12.930999999999999</v>
      </c>
      <c r="D257" s="4">
        <v>4.58E-2</v>
      </c>
      <c r="E257" s="11" t="s">
        <v>559</v>
      </c>
      <c r="F257" s="20" t="s">
        <v>560</v>
      </c>
      <c r="G257" s="20" t="s">
        <v>561</v>
      </c>
      <c r="H257" s="20" t="s">
        <v>562</v>
      </c>
      <c r="I257" s="7">
        <v>2.0099999999999998</v>
      </c>
    </row>
    <row r="258" spans="1:9" ht="15" thickBot="1" x14ac:dyDescent="0.35">
      <c r="A258" s="2" t="s">
        <v>256</v>
      </c>
      <c r="B258" s="12">
        <v>0.38</v>
      </c>
      <c r="C258" s="13">
        <v>11.125</v>
      </c>
      <c r="D258" s="19">
        <v>0.13</v>
      </c>
      <c r="E258" s="5" t="s">
        <v>563</v>
      </c>
      <c r="F258" s="14">
        <v>1.9276</v>
      </c>
      <c r="G258" s="14">
        <v>1.5523</v>
      </c>
      <c r="H258" s="14">
        <v>1.7125999999999999</v>
      </c>
      <c r="I258" s="12">
        <v>0.78</v>
      </c>
    </row>
    <row r="259" spans="1:9" ht="15" thickBot="1" x14ac:dyDescent="0.35">
      <c r="A259" s="2" t="s">
        <v>257</v>
      </c>
      <c r="B259" s="12">
        <v>0.3</v>
      </c>
      <c r="C259" s="3">
        <v>5.2229999999999999</v>
      </c>
      <c r="D259" s="19">
        <v>0.36520000000000002</v>
      </c>
      <c r="E259" s="6">
        <v>7.2900000000000006E-2</v>
      </c>
      <c r="F259" s="20" t="s">
        <v>564</v>
      </c>
      <c r="G259" s="14">
        <v>0.36409999999999998</v>
      </c>
      <c r="H259" s="20" t="s">
        <v>565</v>
      </c>
      <c r="I259" s="7">
        <v>2.7</v>
      </c>
    </row>
    <row r="260" spans="1:9" ht="15" thickBot="1" x14ac:dyDescent="0.35">
      <c r="A260" s="2" t="s">
        <v>258</v>
      </c>
      <c r="B260" s="12">
        <v>0.28000000000000003</v>
      </c>
      <c r="C260" s="13">
        <v>11.180999999999999</v>
      </c>
      <c r="D260" s="4">
        <v>4.7800000000000002E-2</v>
      </c>
      <c r="E260" s="8">
        <v>3.27E-2</v>
      </c>
      <c r="F260" s="14">
        <v>0.6704</v>
      </c>
      <c r="G260" s="11" t="s">
        <v>566</v>
      </c>
      <c r="H260" s="14">
        <v>0.6724</v>
      </c>
      <c r="I260" s="9">
        <v>1.84</v>
      </c>
    </row>
    <row r="261" spans="1:9" ht="15" thickBot="1" x14ac:dyDescent="0.35">
      <c r="A261" s="2" t="s">
        <v>259</v>
      </c>
      <c r="B261" s="12">
        <v>0.26</v>
      </c>
      <c r="C261" s="3">
        <v>8.6110000000000007</v>
      </c>
      <c r="D261" s="15">
        <v>9.9199999999999997E-2</v>
      </c>
      <c r="E261" s="8">
        <v>1.1599999999999999E-2</v>
      </c>
      <c r="F261" s="14">
        <v>0.32290000000000002</v>
      </c>
      <c r="G261" s="11" t="s">
        <v>567</v>
      </c>
      <c r="H261" s="6">
        <v>0.1467</v>
      </c>
      <c r="I261" s="9">
        <v>1.85</v>
      </c>
    </row>
    <row r="262" spans="1:9" ht="15" thickBot="1" x14ac:dyDescent="0.35">
      <c r="A262" s="2" t="s">
        <v>260</v>
      </c>
      <c r="B262" s="12">
        <v>0.26</v>
      </c>
      <c r="C262" s="10">
        <v>28.814</v>
      </c>
      <c r="D262" s="19">
        <v>0.1028</v>
      </c>
      <c r="E262" s="14">
        <v>0.25140000000000001</v>
      </c>
      <c r="F262" s="14">
        <v>0.51370000000000005</v>
      </c>
      <c r="G262" s="6">
        <v>0.13880000000000001</v>
      </c>
      <c r="H262" s="14">
        <v>0.3548</v>
      </c>
      <c r="I262" s="7">
        <v>3.13</v>
      </c>
    </row>
    <row r="263" spans="1:9" ht="15" thickBot="1" x14ac:dyDescent="0.35">
      <c r="A263" s="2" t="s">
        <v>261</v>
      </c>
      <c r="B263" s="12">
        <v>0.25</v>
      </c>
      <c r="C263" s="13">
        <v>15.082000000000001</v>
      </c>
      <c r="D263" s="19">
        <v>0.53610000000000002</v>
      </c>
      <c r="E263" s="14">
        <v>0.49759999999999999</v>
      </c>
      <c r="F263" s="14">
        <v>0.86519999999999997</v>
      </c>
      <c r="G263" s="14">
        <v>0.56869999999999998</v>
      </c>
      <c r="H263" s="14">
        <v>0.91279999999999994</v>
      </c>
      <c r="I263" s="12">
        <v>0.65</v>
      </c>
    </row>
    <row r="264" spans="1:9" ht="15" thickBot="1" x14ac:dyDescent="0.35">
      <c r="A264" s="2" t="s">
        <v>262</v>
      </c>
      <c r="B264" s="12">
        <v>0.25</v>
      </c>
      <c r="C264" s="3">
        <v>6.8360000000000003</v>
      </c>
      <c r="D264" s="19">
        <v>0.25530000000000003</v>
      </c>
      <c r="E264" s="14">
        <v>0.25629999999999997</v>
      </c>
      <c r="F264" s="8">
        <v>3.6900000000000002E-2</v>
      </c>
      <c r="G264" s="6">
        <v>0.1338</v>
      </c>
      <c r="H264" s="8">
        <v>8.6999999999999994E-2</v>
      </c>
      <c r="I264" s="9">
        <v>1.42</v>
      </c>
    </row>
    <row r="265" spans="1:9" ht="15" thickBot="1" x14ac:dyDescent="0.35">
      <c r="A265" s="2" t="s">
        <v>263</v>
      </c>
      <c r="B265" s="12">
        <v>0.23</v>
      </c>
      <c r="C265" s="3">
        <v>5.2549999999999999</v>
      </c>
      <c r="D265" s="19">
        <v>0.16</v>
      </c>
      <c r="E265" s="11" t="s">
        <v>568</v>
      </c>
      <c r="F265" s="8">
        <v>2.7699999999999999E-2</v>
      </c>
      <c r="G265" s="11" t="s">
        <v>569</v>
      </c>
      <c r="H265" s="6">
        <v>0.15</v>
      </c>
      <c r="I265" s="9">
        <v>1.06</v>
      </c>
    </row>
    <row r="266" spans="1:9" ht="15" thickBot="1" x14ac:dyDescent="0.35">
      <c r="A266" s="2" t="s">
        <v>264</v>
      </c>
      <c r="B266" s="12">
        <v>0.22</v>
      </c>
      <c r="C266" s="3">
        <v>7.5449999999999999</v>
      </c>
      <c r="D266" s="19">
        <v>0.26050000000000001</v>
      </c>
      <c r="E266" s="6">
        <v>5.9200000000000003E-2</v>
      </c>
      <c r="F266" s="5" t="s">
        <v>570</v>
      </c>
      <c r="G266" s="8">
        <v>6.9000000000000006E-2</v>
      </c>
      <c r="H266" s="6">
        <v>0.1429</v>
      </c>
      <c r="I266" s="7">
        <v>3.7</v>
      </c>
    </row>
    <row r="267" spans="1:9" ht="15" thickBot="1" x14ac:dyDescent="0.35">
      <c r="A267" s="2" t="s">
        <v>265</v>
      </c>
      <c r="B267" s="12">
        <v>0.22</v>
      </c>
      <c r="C267" s="10">
        <v>103.18</v>
      </c>
      <c r="D267" s="19">
        <v>0.12640000000000001</v>
      </c>
      <c r="E267" s="11" t="s">
        <v>571</v>
      </c>
      <c r="F267" s="11" t="s">
        <v>572</v>
      </c>
      <c r="G267" s="20" t="s">
        <v>573</v>
      </c>
      <c r="H267" s="8">
        <v>9.7000000000000003E-3</v>
      </c>
      <c r="I267" s="7">
        <v>2.3199999999999998</v>
      </c>
    </row>
    <row r="268" spans="1:9" ht="15" thickBot="1" x14ac:dyDescent="0.35">
      <c r="A268" s="2" t="s">
        <v>266</v>
      </c>
      <c r="B268" s="12">
        <v>0.21</v>
      </c>
      <c r="C268" s="3">
        <v>6.9249999999999998</v>
      </c>
      <c r="D268" s="19">
        <v>0.19520000000000001</v>
      </c>
      <c r="E268" s="11" t="s">
        <v>574</v>
      </c>
      <c r="F268" s="20" t="s">
        <v>575</v>
      </c>
      <c r="G268" s="11" t="s">
        <v>576</v>
      </c>
      <c r="H268" s="6">
        <v>0.14760000000000001</v>
      </c>
      <c r="I268" s="7">
        <v>2.8</v>
      </c>
    </row>
    <row r="269" spans="1:9" ht="15" thickBot="1" x14ac:dyDescent="0.35">
      <c r="A269" s="2" t="s">
        <v>267</v>
      </c>
      <c r="B269" s="12">
        <v>0.2</v>
      </c>
      <c r="C269" s="3">
        <v>7.9960000000000004</v>
      </c>
      <c r="D269" s="15">
        <v>7.0900000000000005E-2</v>
      </c>
      <c r="E269" s="8">
        <v>3.09E-2</v>
      </c>
      <c r="F269" s="5" t="s">
        <v>577</v>
      </c>
      <c r="G269" s="5" t="s">
        <v>577</v>
      </c>
      <c r="H269" s="11" t="s">
        <v>578</v>
      </c>
      <c r="I269" s="12">
        <v>0.03</v>
      </c>
    </row>
    <row r="270" spans="1:9" ht="15" thickBot="1" x14ac:dyDescent="0.35">
      <c r="A270" s="2" t="s">
        <v>268</v>
      </c>
      <c r="B270" s="12">
        <v>0.17</v>
      </c>
      <c r="C270" s="3">
        <v>6.9260000000000002</v>
      </c>
      <c r="D270" s="15">
        <v>7.1999999999999995E-2</v>
      </c>
      <c r="E270" s="5" t="s">
        <v>579</v>
      </c>
      <c r="F270" s="20" t="s">
        <v>580</v>
      </c>
      <c r="G270" s="5" t="s">
        <v>471</v>
      </c>
      <c r="H270" s="20" t="s">
        <v>581</v>
      </c>
      <c r="I270" s="12" t="s">
        <v>582</v>
      </c>
    </row>
    <row r="271" spans="1:9" ht="15" thickBot="1" x14ac:dyDescent="0.35">
      <c r="A271" s="2" t="s">
        <v>269</v>
      </c>
      <c r="B271" s="12">
        <v>0.15</v>
      </c>
      <c r="C271" s="3">
        <v>9.1519999999999992</v>
      </c>
      <c r="D271" s="15">
        <v>6.6000000000000003E-2</v>
      </c>
      <c r="E271" s="11" t="s">
        <v>583</v>
      </c>
      <c r="F271" s="11" t="s">
        <v>584</v>
      </c>
      <c r="G271" s="11" t="s">
        <v>585</v>
      </c>
      <c r="H271" s="11" t="s">
        <v>586</v>
      </c>
      <c r="I271" s="12">
        <v>0.52</v>
      </c>
    </row>
    <row r="272" spans="1:9" ht="15" thickBot="1" x14ac:dyDescent="0.35">
      <c r="A272" s="2" t="s">
        <v>270</v>
      </c>
      <c r="B272" s="12">
        <v>0.14000000000000001</v>
      </c>
      <c r="C272" s="3">
        <v>6.1749999999999998</v>
      </c>
      <c r="D272" s="15">
        <v>9.2899999999999996E-2</v>
      </c>
      <c r="E272" s="11" t="s">
        <v>587</v>
      </c>
      <c r="F272" s="8">
        <v>5.7599999999999998E-2</v>
      </c>
      <c r="G272" s="11" t="s">
        <v>588</v>
      </c>
      <c r="H272" s="8">
        <v>4.9599999999999998E-2</v>
      </c>
      <c r="I272" s="12">
        <v>0.64</v>
      </c>
    </row>
    <row r="273" spans="1:9" ht="15" thickBot="1" x14ac:dyDescent="0.35">
      <c r="A273" s="2" t="s">
        <v>271</v>
      </c>
      <c r="B273" s="12">
        <v>0.11</v>
      </c>
      <c r="C273" s="3">
        <v>9.4489999999999998</v>
      </c>
      <c r="D273" s="19">
        <v>0.1245</v>
      </c>
      <c r="E273" s="11" t="s">
        <v>589</v>
      </c>
      <c r="F273" s="20" t="s">
        <v>590</v>
      </c>
      <c r="G273" s="20" t="s">
        <v>591</v>
      </c>
      <c r="H273" s="20" t="s">
        <v>592</v>
      </c>
      <c r="I273" s="7">
        <v>2.87</v>
      </c>
    </row>
    <row r="274" spans="1:9" ht="15" thickBot="1" x14ac:dyDescent="0.35">
      <c r="A274" s="2" t="s">
        <v>272</v>
      </c>
      <c r="B274" s="12">
        <v>0.11</v>
      </c>
      <c r="C274" s="3">
        <v>8.6120000000000001</v>
      </c>
      <c r="D274" s="19">
        <v>0.24979999999999999</v>
      </c>
      <c r="E274" s="6">
        <v>0.1176</v>
      </c>
      <c r="F274" s="8">
        <v>5.6500000000000002E-2</v>
      </c>
      <c r="G274" s="6">
        <v>0.14799999999999999</v>
      </c>
      <c r="H274" s="8">
        <v>2.1499999999999998E-2</v>
      </c>
      <c r="I274" s="12">
        <v>0.69</v>
      </c>
    </row>
    <row r="275" spans="1:9" ht="15" thickBot="1" x14ac:dyDescent="0.35">
      <c r="A275" s="2" t="s">
        <v>273</v>
      </c>
      <c r="B275" s="12">
        <v>0.11</v>
      </c>
      <c r="C275" s="10">
        <v>138.41200000000001</v>
      </c>
      <c r="D275" s="19">
        <v>0.36799999999999999</v>
      </c>
      <c r="E275" s="20" t="s">
        <v>593</v>
      </c>
      <c r="F275" s="20" t="s">
        <v>594</v>
      </c>
      <c r="G275" s="20" t="s">
        <v>595</v>
      </c>
      <c r="H275" s="20" t="s">
        <v>596</v>
      </c>
      <c r="I275" s="7">
        <v>2.99</v>
      </c>
    </row>
    <row r="276" spans="1:9" ht="15" thickBot="1" x14ac:dyDescent="0.35">
      <c r="A276" s="2" t="s">
        <v>274</v>
      </c>
      <c r="B276" s="12">
        <v>0.09</v>
      </c>
      <c r="C276" s="13">
        <v>11.529</v>
      </c>
      <c r="D276" s="15">
        <v>9.6799999999999997E-2</v>
      </c>
      <c r="E276" s="11" t="s">
        <v>597</v>
      </c>
      <c r="F276" s="5" t="s">
        <v>598</v>
      </c>
      <c r="G276" s="5" t="s">
        <v>599</v>
      </c>
      <c r="H276" s="5" t="s">
        <v>600</v>
      </c>
      <c r="I276" s="12">
        <v>0.47</v>
      </c>
    </row>
    <row r="277" spans="1:9" ht="15" thickBot="1" x14ac:dyDescent="0.35">
      <c r="A277" s="2" t="s">
        <v>275</v>
      </c>
      <c r="B277" s="12">
        <v>0.08</v>
      </c>
      <c r="C277" s="10">
        <v>91.86</v>
      </c>
      <c r="D277" s="15">
        <v>9.01E-2</v>
      </c>
      <c r="E277" s="11" t="s">
        <v>601</v>
      </c>
      <c r="F277" s="14">
        <v>0.90480000000000005</v>
      </c>
      <c r="G277" s="11" t="s">
        <v>602</v>
      </c>
      <c r="H277" s="14">
        <v>0.99</v>
      </c>
      <c r="I277" s="9">
        <v>1.93</v>
      </c>
    </row>
    <row r="278" spans="1:9" ht="15" thickBot="1" x14ac:dyDescent="0.35">
      <c r="A278" s="2" t="s">
        <v>276</v>
      </c>
      <c r="B278" s="12">
        <v>7.0000000000000007E-2</v>
      </c>
      <c r="C278" s="13">
        <v>12.449</v>
      </c>
      <c r="D278" s="19">
        <v>0.12920000000000001</v>
      </c>
      <c r="E278" s="5" t="s">
        <v>603</v>
      </c>
      <c r="F278" s="5" t="s">
        <v>604</v>
      </c>
      <c r="G278" s="5" t="s">
        <v>605</v>
      </c>
      <c r="H278" s="5" t="s">
        <v>606</v>
      </c>
      <c r="I278" s="12">
        <v>0.44</v>
      </c>
    </row>
    <row r="279" spans="1:9" ht="15" thickBot="1" x14ac:dyDescent="0.35">
      <c r="A279" s="2" t="s">
        <v>277</v>
      </c>
      <c r="B279" s="12">
        <v>7.0000000000000007E-2</v>
      </c>
      <c r="C279" s="10">
        <v>55.008000000000003</v>
      </c>
      <c r="D279" s="15">
        <v>6.8699999999999997E-2</v>
      </c>
      <c r="E279" s="11" t="s">
        <v>607</v>
      </c>
      <c r="F279" s="11" t="s">
        <v>608</v>
      </c>
      <c r="G279" s="5" t="s">
        <v>310</v>
      </c>
      <c r="H279" s="20" t="s">
        <v>609</v>
      </c>
      <c r="I279" s="9">
        <v>1.62</v>
      </c>
    </row>
    <row r="280" spans="1:9" ht="15" thickBot="1" x14ac:dyDescent="0.35">
      <c r="A280" s="2" t="s">
        <v>278</v>
      </c>
      <c r="B280" s="12">
        <v>0.06</v>
      </c>
      <c r="C280" s="3">
        <v>6.9589999999999996</v>
      </c>
      <c r="D280" s="19">
        <v>0.13089999999999999</v>
      </c>
      <c r="E280" s="20" t="s">
        <v>610</v>
      </c>
      <c r="F280" s="20" t="s">
        <v>611</v>
      </c>
      <c r="G280" s="20" t="s">
        <v>612</v>
      </c>
      <c r="H280" s="20" t="s">
        <v>613</v>
      </c>
      <c r="I280" s="9">
        <v>1.1299999999999999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selection activeCell="A4" sqref="A4"/>
    </sheetView>
  </sheetViews>
  <sheetFormatPr defaultRowHeight="14.4" x14ac:dyDescent="0.3"/>
  <cols>
    <col min="1" max="1" width="17.77734375" customWidth="1"/>
    <col min="2" max="3" width="26.6640625" customWidth="1"/>
  </cols>
  <sheetData>
    <row r="1" spans="1:3" x14ac:dyDescent="0.3">
      <c r="A1" s="21" t="s">
        <v>614</v>
      </c>
      <c r="B1" t="s">
        <v>624</v>
      </c>
    </row>
    <row r="3" spans="1:3" x14ac:dyDescent="0.3">
      <c r="A3" s="21" t="s">
        <v>615</v>
      </c>
      <c r="B3" t="s">
        <v>665</v>
      </c>
      <c r="C3" t="s">
        <v>666</v>
      </c>
    </row>
    <row r="4" spans="1:3" x14ac:dyDescent="0.3">
      <c r="A4" s="23" t="s">
        <v>625</v>
      </c>
      <c r="B4" s="1">
        <v>0.14294181818181817</v>
      </c>
      <c r="C4" s="1">
        <v>0.34456229508196734</v>
      </c>
    </row>
    <row r="5" spans="1:3" x14ac:dyDescent="0.3">
      <c r="A5" s="23" t="s">
        <v>626</v>
      </c>
      <c r="B5" s="1">
        <v>6.0597142857142877E-2</v>
      </c>
      <c r="C5" s="1">
        <v>0.14227058823529409</v>
      </c>
    </row>
    <row r="6" spans="1:3" x14ac:dyDescent="0.3">
      <c r="A6" s="23" t="s">
        <v>627</v>
      </c>
      <c r="B6" s="1">
        <v>4.8469999999999999E-2</v>
      </c>
      <c r="C6" s="1">
        <v>0.1542681818181818</v>
      </c>
    </row>
    <row r="7" spans="1:3" x14ac:dyDescent="0.3">
      <c r="A7" s="23" t="s">
        <v>628</v>
      </c>
      <c r="B7" s="1">
        <v>4.2472727272727273E-2</v>
      </c>
      <c r="C7" s="1">
        <v>0.1233904761904762</v>
      </c>
    </row>
    <row r="8" spans="1:3" x14ac:dyDescent="0.3">
      <c r="A8" s="23" t="s">
        <v>629</v>
      </c>
      <c r="B8" s="1">
        <v>3.8592857142857144E-2</v>
      </c>
      <c r="C8" s="1">
        <v>0.12277142857142857</v>
      </c>
    </row>
    <row r="9" spans="1:3" x14ac:dyDescent="0.3">
      <c r="A9" s="23" t="s">
        <v>630</v>
      </c>
      <c r="B9" s="1">
        <v>2.9974999999999998E-2</v>
      </c>
      <c r="C9" s="1">
        <v>9.4983333333333322E-2</v>
      </c>
    </row>
    <row r="10" spans="1:3" x14ac:dyDescent="0.3">
      <c r="A10" s="23" t="s">
        <v>631</v>
      </c>
      <c r="B10" s="1">
        <v>4.1500000000000002E-2</v>
      </c>
      <c r="C10" s="1">
        <v>0.12266250000000001</v>
      </c>
    </row>
    <row r="11" spans="1:3" x14ac:dyDescent="0.3">
      <c r="A11" s="23" t="s">
        <v>632</v>
      </c>
      <c r="B11" s="1">
        <v>6.3633333333333333E-2</v>
      </c>
      <c r="C11" s="1">
        <v>8.1966666666666674E-2</v>
      </c>
    </row>
    <row r="12" spans="1:3" x14ac:dyDescent="0.3">
      <c r="A12" s="23" t="s">
        <v>633</v>
      </c>
      <c r="B12" s="1">
        <v>1.78E-2</v>
      </c>
      <c r="C12" s="1">
        <v>5.6766666666666667E-2</v>
      </c>
    </row>
    <row r="13" spans="1:3" x14ac:dyDescent="0.3">
      <c r="A13" s="23" t="s">
        <v>634</v>
      </c>
      <c r="B13" s="1">
        <v>2.2450000000000001E-2</v>
      </c>
      <c r="C13" s="1">
        <v>5.6566666666666675E-2</v>
      </c>
    </row>
    <row r="14" spans="1:3" x14ac:dyDescent="0.3">
      <c r="A14" s="23" t="s">
        <v>635</v>
      </c>
      <c r="B14" s="1">
        <v>2.7066666666666666E-2</v>
      </c>
      <c r="C14" s="1">
        <v>4.3299999999999998E-2</v>
      </c>
    </row>
    <row r="15" spans="1:3" x14ac:dyDescent="0.3">
      <c r="A15" s="23" t="s">
        <v>636</v>
      </c>
      <c r="B15" s="1">
        <v>2.3233333333333338E-2</v>
      </c>
      <c r="C15" s="1">
        <v>5.7150000000000006E-2</v>
      </c>
    </row>
    <row r="16" spans="1:3" x14ac:dyDescent="0.3">
      <c r="A16" s="23" t="s">
        <v>637</v>
      </c>
      <c r="B16" s="1">
        <v>2.3300000000000001E-2</v>
      </c>
      <c r="C16" s="1">
        <v>0.11645</v>
      </c>
    </row>
    <row r="17" spans="1:3" x14ac:dyDescent="0.3">
      <c r="A17" s="23" t="s">
        <v>638</v>
      </c>
      <c r="B17" s="1">
        <v>1.55E-2</v>
      </c>
      <c r="C17" s="1">
        <v>1.6500000000000001E-2</v>
      </c>
    </row>
    <row r="18" spans="1:3" x14ac:dyDescent="0.3">
      <c r="A18" s="23" t="s">
        <v>639</v>
      </c>
      <c r="B18" s="1">
        <v>3.44E-2</v>
      </c>
      <c r="C18" s="1">
        <v>6.6549999999999998E-2</v>
      </c>
    </row>
    <row r="19" spans="1:3" x14ac:dyDescent="0.3">
      <c r="A19" s="23" t="s">
        <v>640</v>
      </c>
      <c r="B19" s="1">
        <v>2.3599999999999999E-2</v>
      </c>
      <c r="C19" s="1">
        <v>4.3049999999999998E-2</v>
      </c>
    </row>
    <row r="20" spans="1:3" x14ac:dyDescent="0.3">
      <c r="A20" s="23" t="s">
        <v>641</v>
      </c>
      <c r="B20" s="1">
        <v>0</v>
      </c>
      <c r="C20" s="1">
        <v>5.0900000000000001E-2</v>
      </c>
    </row>
    <row r="21" spans="1:3" x14ac:dyDescent="0.3">
      <c r="A21" s="23" t="s">
        <v>642</v>
      </c>
      <c r="B21" s="1">
        <v>4.3400000000000001E-2</v>
      </c>
      <c r="C21" s="1">
        <v>6.1999999999999998E-3</v>
      </c>
    </row>
    <row r="22" spans="1:3" x14ac:dyDescent="0.3">
      <c r="A22" s="23" t="s">
        <v>643</v>
      </c>
      <c r="B22" s="1">
        <v>2.2599999999999999E-2</v>
      </c>
      <c r="C22" s="1">
        <v>6.2299999999999994E-2</v>
      </c>
    </row>
    <row r="23" spans="1:3" x14ac:dyDescent="0.3">
      <c r="A23" s="23" t="s">
        <v>644</v>
      </c>
      <c r="B23" s="1">
        <v>1.7899999999999999E-2</v>
      </c>
      <c r="C23" s="1">
        <v>2.4400000000000002E-2</v>
      </c>
    </row>
    <row r="24" spans="1:3" x14ac:dyDescent="0.3">
      <c r="A24" s="23" t="s">
        <v>645</v>
      </c>
      <c r="B24" s="1">
        <v>0</v>
      </c>
      <c r="C24" s="1">
        <v>3.1399999999999997E-2</v>
      </c>
    </row>
    <row r="25" spans="1:3" x14ac:dyDescent="0.3">
      <c r="A25" s="23" t="s">
        <v>646</v>
      </c>
      <c r="B25" s="1">
        <v>3.8800000000000001E-2</v>
      </c>
      <c r="C25" s="1">
        <v>0.222</v>
      </c>
    </row>
    <row r="26" spans="1:3" x14ac:dyDescent="0.3">
      <c r="A26" s="23" t="s">
        <v>647</v>
      </c>
      <c r="B26" s="1">
        <v>0</v>
      </c>
      <c r="C26" s="1">
        <v>7.7700000000000005E-2</v>
      </c>
    </row>
    <row r="27" spans="1:3" x14ac:dyDescent="0.3">
      <c r="A27" s="23" t="s">
        <v>648</v>
      </c>
      <c r="B27" s="1">
        <v>1.89E-2</v>
      </c>
      <c r="C27" s="1">
        <v>8.14E-2</v>
      </c>
    </row>
    <row r="28" spans="1:3" x14ac:dyDescent="0.3">
      <c r="A28" s="23" t="s">
        <v>649</v>
      </c>
      <c r="B28" s="1">
        <v>2.5000000000000001E-3</v>
      </c>
      <c r="C28" s="1">
        <v>2.2700000000000001E-2</v>
      </c>
    </row>
    <row r="29" spans="1:3" x14ac:dyDescent="0.3">
      <c r="A29" s="23" t="s">
        <v>650</v>
      </c>
      <c r="B29" s="1">
        <v>0</v>
      </c>
      <c r="C29" s="1">
        <v>8.6800000000000002E-2</v>
      </c>
    </row>
    <row r="30" spans="1:3" x14ac:dyDescent="0.3">
      <c r="A30" s="23" t="s">
        <v>651</v>
      </c>
      <c r="B30" s="1">
        <v>1.37E-2</v>
      </c>
      <c r="C30" s="1">
        <v>8.7599999999999997E-2</v>
      </c>
    </row>
    <row r="31" spans="1:3" x14ac:dyDescent="0.3">
      <c r="A31" s="23" t="s">
        <v>652</v>
      </c>
      <c r="B31" s="1">
        <v>0</v>
      </c>
      <c r="C31" s="1">
        <v>0.1547</v>
      </c>
    </row>
    <row r="32" spans="1:3" x14ac:dyDescent="0.3">
      <c r="A32" s="23" t="s">
        <v>623</v>
      </c>
      <c r="B32" s="1">
        <v>7.1759375E-2</v>
      </c>
      <c r="C32" s="1">
        <v>0.1818583732057418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"/>
  <sheetViews>
    <sheetView workbookViewId="0">
      <selection activeCell="A3" sqref="A3"/>
    </sheetView>
  </sheetViews>
  <sheetFormatPr defaultRowHeight="14.4" x14ac:dyDescent="0.3"/>
  <cols>
    <col min="1" max="3" width="26.6640625" customWidth="1"/>
    <col min="4" max="4" width="17.77734375" customWidth="1"/>
  </cols>
  <sheetData>
    <row r="1" spans="1:4" x14ac:dyDescent="0.3">
      <c r="A1" s="21" t="s">
        <v>614</v>
      </c>
      <c r="B1" t="s">
        <v>624</v>
      </c>
    </row>
    <row r="3" spans="1:4" x14ac:dyDescent="0.3">
      <c r="A3" s="21" t="s">
        <v>686</v>
      </c>
      <c r="B3" t="s">
        <v>667</v>
      </c>
      <c r="C3" t="s">
        <v>668</v>
      </c>
      <c r="D3" t="s">
        <v>669</v>
      </c>
    </row>
    <row r="4" spans="1:4" x14ac:dyDescent="0.3">
      <c r="A4" s="25" t="s">
        <v>625</v>
      </c>
      <c r="B4" s="1"/>
      <c r="C4" s="1"/>
      <c r="D4" s="22"/>
    </row>
    <row r="5" spans="1:4" x14ac:dyDescent="0.3">
      <c r="A5" s="26" t="s">
        <v>625</v>
      </c>
      <c r="B5" s="1">
        <v>0.25545294117647055</v>
      </c>
      <c r="C5" s="1">
        <v>0.36539729729729736</v>
      </c>
      <c r="D5" s="22">
        <v>112.27999999999997</v>
      </c>
    </row>
    <row r="6" spans="1:4" x14ac:dyDescent="0.3">
      <c r="A6" s="26" t="s">
        <v>626</v>
      </c>
      <c r="B6" s="1">
        <v>5.4371428571428571E-2</v>
      </c>
      <c r="C6" s="1">
        <v>0.18654545454545454</v>
      </c>
      <c r="D6" s="22">
        <v>27.020000000000003</v>
      </c>
    </row>
    <row r="7" spans="1:4" x14ac:dyDescent="0.3">
      <c r="A7" s="26" t="s">
        <v>627</v>
      </c>
      <c r="B7" s="1">
        <v>2.5542857142857141E-2</v>
      </c>
      <c r="C7" s="1">
        <v>0.10246666666666666</v>
      </c>
      <c r="D7" s="22">
        <v>25.93</v>
      </c>
    </row>
    <row r="8" spans="1:4" x14ac:dyDescent="0.3">
      <c r="A8" s="26" t="s">
        <v>628</v>
      </c>
      <c r="B8" s="1">
        <v>4.3990000000000001E-2</v>
      </c>
      <c r="C8" s="1">
        <v>0.14987500000000001</v>
      </c>
      <c r="D8" s="22">
        <v>16.639999999999997</v>
      </c>
    </row>
    <row r="9" spans="1:4" x14ac:dyDescent="0.3">
      <c r="A9" s="26" t="s">
        <v>629</v>
      </c>
      <c r="B9" s="1">
        <v>2.9019999999999997E-2</v>
      </c>
      <c r="C9" s="1">
        <v>8.8250000000000009E-2</v>
      </c>
      <c r="D9" s="22">
        <v>10.02</v>
      </c>
    </row>
    <row r="10" spans="1:4" x14ac:dyDescent="0.3">
      <c r="A10" s="26" t="s">
        <v>630</v>
      </c>
      <c r="B10" s="1">
        <v>3.04E-2</v>
      </c>
      <c r="C10" s="1">
        <v>8.4775000000000003E-2</v>
      </c>
      <c r="D10" s="22">
        <v>8.5300000000000011</v>
      </c>
    </row>
    <row r="11" spans="1:4" x14ac:dyDescent="0.3">
      <c r="A11" s="26" t="s">
        <v>631</v>
      </c>
      <c r="B11" s="1">
        <v>0.1056</v>
      </c>
      <c r="C11" s="1">
        <v>0.24580000000000002</v>
      </c>
      <c r="D11" s="22">
        <v>11.729999999999999</v>
      </c>
    </row>
    <row r="12" spans="1:4" x14ac:dyDescent="0.3">
      <c r="A12" s="26" t="s">
        <v>632</v>
      </c>
      <c r="B12" s="1">
        <v>3.73E-2</v>
      </c>
      <c r="C12" s="1">
        <v>5.3849999999999995E-2</v>
      </c>
      <c r="D12" s="22">
        <v>3.56</v>
      </c>
    </row>
    <row r="13" spans="1:4" x14ac:dyDescent="0.3">
      <c r="A13" s="26" t="s">
        <v>633</v>
      </c>
      <c r="B13" s="1">
        <v>2.523333333333333E-2</v>
      </c>
      <c r="C13" s="1">
        <v>7.4020000000000002E-2</v>
      </c>
      <c r="D13" s="22">
        <v>4.2899999999999991</v>
      </c>
    </row>
    <row r="14" spans="1:4" x14ac:dyDescent="0.3">
      <c r="A14" s="26" t="s">
        <v>634</v>
      </c>
      <c r="B14" s="1">
        <v>2.0049999999999998E-2</v>
      </c>
      <c r="C14" s="1">
        <v>7.485E-2</v>
      </c>
      <c r="D14" s="22">
        <v>3.26</v>
      </c>
    </row>
    <row r="15" spans="1:4" x14ac:dyDescent="0.3">
      <c r="A15" s="26" t="s">
        <v>635</v>
      </c>
      <c r="B15" s="1">
        <v>1.6400000000000001E-2</v>
      </c>
      <c r="C15" s="1">
        <v>5.3599999999999995E-2</v>
      </c>
      <c r="D15" s="22">
        <v>2.5299999999999998</v>
      </c>
    </row>
    <row r="16" spans="1:4" x14ac:dyDescent="0.3">
      <c r="A16" s="26" t="s">
        <v>636</v>
      </c>
      <c r="B16" s="1">
        <v>2.8450000000000003E-2</v>
      </c>
      <c r="C16" s="1">
        <v>6.0133333333333323E-2</v>
      </c>
      <c r="D16" s="22">
        <v>2.81</v>
      </c>
    </row>
    <row r="17" spans="1:4" x14ac:dyDescent="0.3">
      <c r="A17" s="26" t="s">
        <v>637</v>
      </c>
      <c r="B17" s="1">
        <v>2.0299999999999999E-2</v>
      </c>
      <c r="C17" s="1">
        <v>0.21340000000000001</v>
      </c>
      <c r="D17" s="22">
        <v>2.0099999999999998</v>
      </c>
    </row>
    <row r="18" spans="1:4" x14ac:dyDescent="0.3">
      <c r="A18" s="26" t="s">
        <v>638</v>
      </c>
      <c r="B18" s="1">
        <v>2.0500000000000001E-2</v>
      </c>
      <c r="C18" s="1">
        <v>1.29E-2</v>
      </c>
      <c r="D18" s="22">
        <v>3.02</v>
      </c>
    </row>
    <row r="19" spans="1:4" x14ac:dyDescent="0.3">
      <c r="A19" s="26" t="s">
        <v>639</v>
      </c>
      <c r="B19" s="1">
        <v>2.5700000000000001E-2</v>
      </c>
      <c r="C19" s="1">
        <v>6.6750000000000004E-2</v>
      </c>
      <c r="D19" s="22">
        <v>2.17</v>
      </c>
    </row>
    <row r="20" spans="1:4" x14ac:dyDescent="0.3">
      <c r="A20" s="26" t="s">
        <v>640</v>
      </c>
      <c r="B20" s="1">
        <v>1.0999999999999999E-2</v>
      </c>
      <c r="C20" s="1">
        <v>6.6100000000000006E-2</v>
      </c>
      <c r="D20" s="22">
        <v>1.27</v>
      </c>
    </row>
    <row r="21" spans="1:4" x14ac:dyDescent="0.3">
      <c r="A21" s="26" t="s">
        <v>641</v>
      </c>
      <c r="B21" s="1">
        <v>0</v>
      </c>
      <c r="C21" s="1">
        <v>5.3499999999999999E-2</v>
      </c>
      <c r="D21" s="22">
        <v>0.16</v>
      </c>
    </row>
    <row r="22" spans="1:4" x14ac:dyDescent="0.3">
      <c r="A22" s="26" t="s">
        <v>642</v>
      </c>
      <c r="B22" s="1">
        <v>1.43E-2</v>
      </c>
      <c r="C22" s="1">
        <v>2.12E-2</v>
      </c>
      <c r="D22" s="22">
        <v>1.1499999999999999</v>
      </c>
    </row>
    <row r="23" spans="1:4" x14ac:dyDescent="0.3">
      <c r="A23" s="26" t="s">
        <v>643</v>
      </c>
      <c r="B23" s="1">
        <v>1.7399999999999999E-2</v>
      </c>
      <c r="C23" s="1">
        <v>0.25190000000000001</v>
      </c>
      <c r="D23" s="22">
        <v>1.86</v>
      </c>
    </row>
    <row r="24" spans="1:4" x14ac:dyDescent="0.3">
      <c r="A24" s="26" t="s">
        <v>644</v>
      </c>
      <c r="B24" s="1">
        <v>0</v>
      </c>
      <c r="C24" s="1">
        <v>4.5199999999999997E-2</v>
      </c>
      <c r="D24" s="22">
        <v>2.92</v>
      </c>
    </row>
    <row r="25" spans="1:4" x14ac:dyDescent="0.3">
      <c r="A25" s="26" t="s">
        <v>645</v>
      </c>
      <c r="B25" s="1">
        <v>8.0999999999999996E-3</v>
      </c>
      <c r="C25" s="1">
        <v>1.8499999999999999E-2</v>
      </c>
      <c r="D25" s="22">
        <v>0.89</v>
      </c>
    </row>
    <row r="26" spans="1:4" x14ac:dyDescent="0.3">
      <c r="A26" s="26" t="s">
        <v>646</v>
      </c>
      <c r="B26" s="1">
        <v>5.0500000000000003E-2</v>
      </c>
      <c r="C26" s="1">
        <v>0.2162</v>
      </c>
      <c r="D26" s="22">
        <v>1.17</v>
      </c>
    </row>
    <row r="27" spans="1:4" x14ac:dyDescent="0.3">
      <c r="A27" s="26" t="s">
        <v>648</v>
      </c>
      <c r="B27" s="1">
        <v>1.2E-2</v>
      </c>
      <c r="C27" s="1">
        <v>6.8000000000000005E-2</v>
      </c>
      <c r="D27" s="22">
        <v>0.98</v>
      </c>
    </row>
    <row r="28" spans="1:4" x14ac:dyDescent="0.3">
      <c r="A28" s="26" t="s">
        <v>651</v>
      </c>
      <c r="B28" s="1">
        <v>0</v>
      </c>
      <c r="C28" s="1">
        <v>0.19040000000000001</v>
      </c>
      <c r="D28" s="22">
        <v>1.68</v>
      </c>
    </row>
    <row r="29" spans="1:4" x14ac:dyDescent="0.3">
      <c r="A29" s="26" t="s">
        <v>652</v>
      </c>
      <c r="B29" s="1">
        <v>0</v>
      </c>
      <c r="C29" s="1">
        <v>0.216</v>
      </c>
      <c r="D29" s="22">
        <v>2.1</v>
      </c>
    </row>
    <row r="30" spans="1:4" x14ac:dyDescent="0.3">
      <c r="A30" s="25" t="s">
        <v>653</v>
      </c>
      <c r="B30" s="1">
        <v>8.3925675675675673E-2</v>
      </c>
      <c r="C30" s="1">
        <v>0.19941551724137926</v>
      </c>
      <c r="D30" s="22">
        <v>249.97999999999993</v>
      </c>
    </row>
    <row r="31" spans="1:4" x14ac:dyDescent="0.3">
      <c r="A31" s="25" t="s">
        <v>626</v>
      </c>
      <c r="B31" s="1"/>
      <c r="C31" s="1"/>
      <c r="D31" s="22"/>
    </row>
    <row r="32" spans="1:4" x14ac:dyDescent="0.3">
      <c r="A32" s="26" t="s">
        <v>625</v>
      </c>
      <c r="B32" s="1">
        <v>0.27165999999999996</v>
      </c>
      <c r="C32" s="1">
        <v>0.40087692307692302</v>
      </c>
      <c r="D32" s="22">
        <v>45.500000000000007</v>
      </c>
    </row>
    <row r="33" spans="1:4" x14ac:dyDescent="0.3">
      <c r="A33" s="26" t="s">
        <v>626</v>
      </c>
      <c r="B33" s="1">
        <v>8.2337499999999994E-2</v>
      </c>
      <c r="C33" s="1">
        <v>0.11318333333333332</v>
      </c>
      <c r="D33" s="22">
        <v>21.18</v>
      </c>
    </row>
    <row r="34" spans="1:4" x14ac:dyDescent="0.3">
      <c r="A34" s="26" t="s">
        <v>627</v>
      </c>
      <c r="B34" s="1">
        <v>8.5633333333333339E-2</v>
      </c>
      <c r="C34" s="1">
        <v>0.23773333333333335</v>
      </c>
      <c r="D34" s="22">
        <v>7.1400000000000006</v>
      </c>
    </row>
    <row r="35" spans="1:4" x14ac:dyDescent="0.3">
      <c r="A35" s="26" t="s">
        <v>628</v>
      </c>
      <c r="B35" s="1">
        <v>2.4849999999999997E-2</v>
      </c>
      <c r="C35" s="1">
        <v>0.18275999999999998</v>
      </c>
      <c r="D35" s="22">
        <v>9.39</v>
      </c>
    </row>
    <row r="36" spans="1:4" x14ac:dyDescent="0.3">
      <c r="A36" s="26" t="s">
        <v>629</v>
      </c>
      <c r="B36" s="1">
        <v>7.7333333333333337E-2</v>
      </c>
      <c r="C36" s="1">
        <v>0.25932499999999997</v>
      </c>
      <c r="D36" s="22">
        <v>7.4799999999999986</v>
      </c>
    </row>
    <row r="37" spans="1:4" x14ac:dyDescent="0.3">
      <c r="A37" s="26" t="s">
        <v>630</v>
      </c>
      <c r="B37" s="1">
        <v>2.215E-2</v>
      </c>
      <c r="C37" s="1">
        <v>2.8799999999999999E-2</v>
      </c>
      <c r="D37" s="22">
        <v>1.7000000000000002</v>
      </c>
    </row>
    <row r="38" spans="1:4" x14ac:dyDescent="0.3">
      <c r="A38" s="26" t="s">
        <v>631</v>
      </c>
      <c r="B38" s="1">
        <v>6.0000000000000001E-3</v>
      </c>
      <c r="C38" s="1">
        <v>6.2225000000000003E-2</v>
      </c>
      <c r="D38" s="22">
        <v>7.61</v>
      </c>
    </row>
    <row r="39" spans="1:4" x14ac:dyDescent="0.3">
      <c r="A39" s="26" t="s">
        <v>632</v>
      </c>
      <c r="B39" s="1">
        <v>0.20119999999999999</v>
      </c>
      <c r="C39" s="1">
        <v>0.25430000000000003</v>
      </c>
      <c r="D39" s="22">
        <v>2.98</v>
      </c>
    </row>
    <row r="40" spans="1:4" x14ac:dyDescent="0.3">
      <c r="A40" s="26" t="s">
        <v>633</v>
      </c>
      <c r="B40" s="1">
        <v>0</v>
      </c>
      <c r="C40" s="1">
        <v>3.8E-3</v>
      </c>
      <c r="D40" s="22">
        <v>1.32</v>
      </c>
    </row>
    <row r="41" spans="1:4" x14ac:dyDescent="0.3">
      <c r="A41" s="26" t="s">
        <v>635</v>
      </c>
      <c r="B41" s="1">
        <v>2.8299999999999999E-2</v>
      </c>
      <c r="C41" s="1">
        <v>0</v>
      </c>
      <c r="D41" s="22">
        <v>0.77</v>
      </c>
    </row>
    <row r="42" spans="1:4" x14ac:dyDescent="0.3">
      <c r="A42" s="26" t="s">
        <v>636</v>
      </c>
      <c r="B42" s="1">
        <v>0</v>
      </c>
      <c r="C42" s="1">
        <v>0.1167</v>
      </c>
      <c r="D42" s="22">
        <v>1.23</v>
      </c>
    </row>
    <row r="43" spans="1:4" x14ac:dyDescent="0.3">
      <c r="A43" s="25" t="s">
        <v>654</v>
      </c>
      <c r="B43" s="1">
        <v>0.12498235294117646</v>
      </c>
      <c r="C43" s="1">
        <v>0.21969777777777777</v>
      </c>
      <c r="D43" s="22">
        <v>106.30000000000001</v>
      </c>
    </row>
    <row r="44" spans="1:4" x14ac:dyDescent="0.3">
      <c r="A44" s="25" t="s">
        <v>627</v>
      </c>
      <c r="B44" s="1"/>
      <c r="C44" s="1"/>
      <c r="D44" s="22"/>
    </row>
    <row r="45" spans="1:4" x14ac:dyDescent="0.3">
      <c r="A45" s="26" t="s">
        <v>625</v>
      </c>
      <c r="B45" s="1">
        <v>0.11764000000000001</v>
      </c>
      <c r="C45" s="1">
        <v>0.24068888888888887</v>
      </c>
      <c r="D45" s="22">
        <v>23.099999999999998</v>
      </c>
    </row>
    <row r="46" spans="1:4" x14ac:dyDescent="0.3">
      <c r="A46" s="26" t="s">
        <v>626</v>
      </c>
      <c r="B46" s="1">
        <v>6.8533333333333335E-2</v>
      </c>
      <c r="C46" s="1">
        <v>0.137875</v>
      </c>
      <c r="D46" s="22">
        <v>10.49</v>
      </c>
    </row>
    <row r="47" spans="1:4" x14ac:dyDescent="0.3">
      <c r="A47" s="26" t="s">
        <v>628</v>
      </c>
      <c r="B47" s="1">
        <v>3.1399999999999997E-2</v>
      </c>
      <c r="C47" s="1">
        <v>5.6800000000000003E-2</v>
      </c>
      <c r="D47" s="22">
        <v>0.52</v>
      </c>
    </row>
    <row r="48" spans="1:4" x14ac:dyDescent="0.3">
      <c r="A48" s="26" t="s">
        <v>629</v>
      </c>
      <c r="B48" s="1">
        <v>4.0899999999999999E-2</v>
      </c>
      <c r="C48" s="1">
        <v>0.15690000000000001</v>
      </c>
      <c r="D48" s="22">
        <v>1.27</v>
      </c>
    </row>
    <row r="49" spans="1:4" x14ac:dyDescent="0.3">
      <c r="A49" s="26" t="s">
        <v>630</v>
      </c>
      <c r="B49" s="1">
        <v>0</v>
      </c>
      <c r="C49" s="1">
        <v>3.5799999999999998E-2</v>
      </c>
      <c r="D49" s="22">
        <v>0.91</v>
      </c>
    </row>
    <row r="50" spans="1:4" x14ac:dyDescent="0.3">
      <c r="A50" s="26" t="s">
        <v>637</v>
      </c>
      <c r="B50" s="1">
        <v>0</v>
      </c>
      <c r="C50" s="1">
        <v>0</v>
      </c>
      <c r="D50" s="22">
        <v>1.3</v>
      </c>
    </row>
    <row r="51" spans="1:4" x14ac:dyDescent="0.3">
      <c r="A51" s="26" t="s">
        <v>647</v>
      </c>
      <c r="B51" s="1">
        <v>6.1999999999999998E-3</v>
      </c>
      <c r="C51" s="1">
        <v>0.12790000000000001</v>
      </c>
      <c r="D51" s="22">
        <v>1.47</v>
      </c>
    </row>
    <row r="52" spans="1:4" x14ac:dyDescent="0.3">
      <c r="A52" s="26" t="s">
        <v>649</v>
      </c>
      <c r="B52" s="1">
        <v>0</v>
      </c>
      <c r="C52" s="1">
        <v>3.6499999999999998E-2</v>
      </c>
      <c r="D52" s="22">
        <v>1.22</v>
      </c>
    </row>
    <row r="53" spans="1:4" x14ac:dyDescent="0.3">
      <c r="A53" s="25" t="s">
        <v>655</v>
      </c>
      <c r="B53" s="1">
        <v>7.9300000000000009E-2</v>
      </c>
      <c r="C53" s="1">
        <v>0.17397777777777776</v>
      </c>
      <c r="D53" s="22">
        <v>40.279999999999994</v>
      </c>
    </row>
    <row r="54" spans="1:4" x14ac:dyDescent="0.3">
      <c r="A54" s="25" t="s">
        <v>628</v>
      </c>
      <c r="B54" s="1"/>
      <c r="C54" s="1"/>
      <c r="D54" s="22"/>
    </row>
    <row r="55" spans="1:4" x14ac:dyDescent="0.3">
      <c r="A55" s="26" t="s">
        <v>625</v>
      </c>
      <c r="B55" s="1">
        <v>1.17E-2</v>
      </c>
      <c r="C55" s="1">
        <v>0.12720000000000001</v>
      </c>
      <c r="D55" s="22">
        <v>0.75</v>
      </c>
    </row>
    <row r="56" spans="1:4" x14ac:dyDescent="0.3">
      <c r="A56" s="26" t="s">
        <v>626</v>
      </c>
      <c r="B56" s="1">
        <v>7.4300000000000005E-2</v>
      </c>
      <c r="C56" s="1">
        <v>0.43669999999999998</v>
      </c>
      <c r="D56" s="22">
        <v>4.62</v>
      </c>
    </row>
    <row r="57" spans="1:4" x14ac:dyDescent="0.3">
      <c r="A57" s="26" t="s">
        <v>627</v>
      </c>
      <c r="B57" s="1">
        <v>0.1807</v>
      </c>
      <c r="C57" s="1">
        <v>1.5739000000000001</v>
      </c>
      <c r="D57" s="22">
        <v>5.83</v>
      </c>
    </row>
    <row r="58" spans="1:4" x14ac:dyDescent="0.3">
      <c r="A58" s="26" t="s">
        <v>628</v>
      </c>
      <c r="B58" s="1">
        <v>0</v>
      </c>
      <c r="C58" s="1">
        <v>0</v>
      </c>
      <c r="D58" s="22">
        <v>0.5</v>
      </c>
    </row>
    <row r="59" spans="1:4" x14ac:dyDescent="0.3">
      <c r="A59" s="25" t="s">
        <v>656</v>
      </c>
      <c r="B59" s="1">
        <v>8.8899999999999993E-2</v>
      </c>
      <c r="C59" s="1">
        <v>0.71260000000000001</v>
      </c>
      <c r="D59" s="22">
        <v>11.7</v>
      </c>
    </row>
    <row r="60" spans="1:4" x14ac:dyDescent="0.3">
      <c r="A60" s="25" t="s">
        <v>629</v>
      </c>
      <c r="B60" s="1"/>
      <c r="C60" s="1"/>
      <c r="D60" s="22"/>
    </row>
    <row r="61" spans="1:4" x14ac:dyDescent="0.3">
      <c r="A61" s="26" t="s">
        <v>625</v>
      </c>
      <c r="B61" s="1">
        <v>1.9E-2</v>
      </c>
      <c r="C61" s="1">
        <v>0</v>
      </c>
      <c r="D61" s="22">
        <v>1.93</v>
      </c>
    </row>
    <row r="62" spans="1:4" x14ac:dyDescent="0.3">
      <c r="A62" s="26" t="s">
        <v>626</v>
      </c>
      <c r="B62" s="1">
        <v>4.6950000000000006E-2</v>
      </c>
      <c r="C62" s="1">
        <v>0.29339999999999999</v>
      </c>
      <c r="D62" s="22">
        <v>2.9699999999999998</v>
      </c>
    </row>
    <row r="63" spans="1:4" x14ac:dyDescent="0.3">
      <c r="A63" s="26" t="s">
        <v>627</v>
      </c>
      <c r="B63" s="1">
        <v>0</v>
      </c>
      <c r="C63" s="1">
        <v>0</v>
      </c>
      <c r="D63" s="22">
        <v>1.1599999999999999</v>
      </c>
    </row>
    <row r="64" spans="1:4" x14ac:dyDescent="0.3">
      <c r="A64" s="26" t="s">
        <v>628</v>
      </c>
      <c r="B64" s="1">
        <v>0</v>
      </c>
      <c r="C64" s="1">
        <v>0.2334</v>
      </c>
      <c r="D64" s="22">
        <v>3.4</v>
      </c>
    </row>
    <row r="65" spans="1:4" x14ac:dyDescent="0.3">
      <c r="A65" s="25" t="s">
        <v>657</v>
      </c>
      <c r="B65" s="1">
        <v>3.7633333333333331E-2</v>
      </c>
      <c r="C65" s="1">
        <v>0.27340000000000003</v>
      </c>
      <c r="D65" s="22">
        <v>9.4599999999999991</v>
      </c>
    </row>
    <row r="66" spans="1:4" x14ac:dyDescent="0.3">
      <c r="A66" s="25" t="s">
        <v>630</v>
      </c>
      <c r="B66" s="1"/>
      <c r="C66" s="1"/>
      <c r="D66" s="22"/>
    </row>
    <row r="67" spans="1:4" x14ac:dyDescent="0.3">
      <c r="A67" s="26" t="s">
        <v>625</v>
      </c>
      <c r="B67" s="1">
        <v>0</v>
      </c>
      <c r="C67" s="1">
        <v>0</v>
      </c>
      <c r="D67" s="22">
        <v>1.62</v>
      </c>
    </row>
    <row r="68" spans="1:4" x14ac:dyDescent="0.3">
      <c r="A68" s="26" t="s">
        <v>628</v>
      </c>
      <c r="B68" s="1">
        <v>0</v>
      </c>
      <c r="C68" s="1">
        <v>0.22339999999999999</v>
      </c>
      <c r="D68" s="22">
        <v>1.34</v>
      </c>
    </row>
    <row r="69" spans="1:4" x14ac:dyDescent="0.3">
      <c r="A69" s="26" t="s">
        <v>643</v>
      </c>
      <c r="B69" s="1">
        <v>2.35E-2</v>
      </c>
      <c r="C69" s="1">
        <v>9.1899999999999996E-2</v>
      </c>
      <c r="D69" s="22">
        <v>1.18</v>
      </c>
    </row>
    <row r="70" spans="1:4" x14ac:dyDescent="0.3">
      <c r="A70" s="26" t="s">
        <v>650</v>
      </c>
      <c r="B70" s="1">
        <v>0</v>
      </c>
      <c r="C70" s="1">
        <v>8.5199999999999998E-2</v>
      </c>
      <c r="D70" s="22">
        <v>1.91</v>
      </c>
    </row>
    <row r="71" spans="1:4" x14ac:dyDescent="0.3">
      <c r="A71" s="25" t="s">
        <v>658</v>
      </c>
      <c r="B71" s="1">
        <v>2.35E-2</v>
      </c>
      <c r="C71" s="1">
        <v>0.13349999999999998</v>
      </c>
      <c r="D71" s="22">
        <v>6.05</v>
      </c>
    </row>
    <row r="72" spans="1:4" x14ac:dyDescent="0.3">
      <c r="A72" s="25" t="s">
        <v>631</v>
      </c>
      <c r="B72" s="1"/>
      <c r="C72" s="1"/>
      <c r="D72" s="22"/>
    </row>
    <row r="73" spans="1:4" x14ac:dyDescent="0.3">
      <c r="A73" s="26" t="s">
        <v>625</v>
      </c>
      <c r="B73" s="1">
        <v>4.2299999999999997E-2</v>
      </c>
      <c r="C73" s="1">
        <v>0.78899999999999992</v>
      </c>
      <c r="D73" s="22">
        <v>4.32</v>
      </c>
    </row>
    <row r="74" spans="1:4" x14ac:dyDescent="0.3">
      <c r="A74" s="26" t="s">
        <v>626</v>
      </c>
      <c r="B74" s="1">
        <v>3.8600000000000002E-2</v>
      </c>
      <c r="C74" s="1">
        <v>0.27610000000000001</v>
      </c>
      <c r="D74" s="22">
        <v>1.75</v>
      </c>
    </row>
    <row r="75" spans="1:4" x14ac:dyDescent="0.3">
      <c r="A75" s="26" t="s">
        <v>637</v>
      </c>
      <c r="B75" s="1">
        <v>2.7099999999999999E-2</v>
      </c>
      <c r="C75" s="1">
        <v>0.112</v>
      </c>
      <c r="D75" s="22">
        <v>1.52</v>
      </c>
    </row>
    <row r="76" spans="1:4" x14ac:dyDescent="0.3">
      <c r="A76" s="25" t="s">
        <v>659</v>
      </c>
      <c r="B76" s="1">
        <v>3.5999999999999997E-2</v>
      </c>
      <c r="C76" s="1">
        <v>0.49152499999999999</v>
      </c>
      <c r="D76" s="22">
        <v>7.59</v>
      </c>
    </row>
    <row r="77" spans="1:4" x14ac:dyDescent="0.3">
      <c r="A77" s="25" t="s">
        <v>632</v>
      </c>
      <c r="B77" s="1"/>
      <c r="C77" s="1"/>
      <c r="D77" s="22"/>
    </row>
    <row r="78" spans="1:4" x14ac:dyDescent="0.3">
      <c r="A78" s="26" t="s">
        <v>636</v>
      </c>
      <c r="B78" s="1">
        <v>0</v>
      </c>
      <c r="C78" s="1">
        <v>0</v>
      </c>
      <c r="D78" s="22">
        <v>1.81</v>
      </c>
    </row>
    <row r="79" spans="1:4" x14ac:dyDescent="0.3">
      <c r="A79" s="25" t="s">
        <v>660</v>
      </c>
      <c r="B79" s="1">
        <v>0</v>
      </c>
      <c r="C79" s="1">
        <v>0</v>
      </c>
      <c r="D79" s="22">
        <v>1.81</v>
      </c>
    </row>
    <row r="80" spans="1:4" x14ac:dyDescent="0.3">
      <c r="A80" s="25" t="s">
        <v>634</v>
      </c>
      <c r="B80" s="1"/>
      <c r="C80" s="1"/>
      <c r="D80" s="22"/>
    </row>
    <row r="81" spans="1:4" x14ac:dyDescent="0.3">
      <c r="A81" s="26" t="s">
        <v>625</v>
      </c>
      <c r="B81" s="1">
        <v>0</v>
      </c>
      <c r="C81" s="1">
        <v>0.99</v>
      </c>
      <c r="D81" s="22">
        <v>1.93</v>
      </c>
    </row>
    <row r="82" spans="1:4" x14ac:dyDescent="0.3">
      <c r="A82" s="25" t="s">
        <v>661</v>
      </c>
      <c r="B82" s="1">
        <v>0</v>
      </c>
      <c r="C82" s="1">
        <v>0.99</v>
      </c>
      <c r="D82" s="22">
        <v>1.93</v>
      </c>
    </row>
    <row r="83" spans="1:4" x14ac:dyDescent="0.3">
      <c r="A83" s="25" t="s">
        <v>635</v>
      </c>
      <c r="B83" s="1"/>
      <c r="C83" s="1"/>
      <c r="D83" s="22"/>
    </row>
    <row r="84" spans="1:4" x14ac:dyDescent="0.3">
      <c r="A84" s="26" t="s">
        <v>625</v>
      </c>
      <c r="B84" s="1">
        <v>0</v>
      </c>
      <c r="C84" s="1">
        <v>9.7000000000000003E-3</v>
      </c>
      <c r="D84" s="22">
        <v>2.3199999999999998</v>
      </c>
    </row>
    <row r="85" spans="1:4" x14ac:dyDescent="0.3">
      <c r="A85" s="26" t="s">
        <v>626</v>
      </c>
      <c r="B85" s="1">
        <v>0</v>
      </c>
      <c r="C85" s="1">
        <v>0.19</v>
      </c>
      <c r="D85" s="22">
        <v>1.77</v>
      </c>
    </row>
    <row r="86" spans="1:4" x14ac:dyDescent="0.3">
      <c r="A86" s="25" t="s">
        <v>662</v>
      </c>
      <c r="B86" s="1">
        <v>0</v>
      </c>
      <c r="C86" s="1">
        <v>9.9849999999999994E-2</v>
      </c>
      <c r="D86" s="22">
        <v>4.09</v>
      </c>
    </row>
    <row r="87" spans="1:4" x14ac:dyDescent="0.3">
      <c r="A87" s="25" t="s">
        <v>638</v>
      </c>
      <c r="B87" s="1"/>
      <c r="C87" s="1"/>
      <c r="D87" s="22"/>
    </row>
    <row r="88" spans="1:4" x14ac:dyDescent="0.3">
      <c r="A88" s="26" t="s">
        <v>625</v>
      </c>
      <c r="B88" s="1">
        <v>0</v>
      </c>
      <c r="C88" s="1">
        <v>0</v>
      </c>
      <c r="D88" s="22">
        <v>2.99</v>
      </c>
    </row>
    <row r="89" spans="1:4" x14ac:dyDescent="0.3">
      <c r="A89" s="25" t="s">
        <v>663</v>
      </c>
      <c r="B89" s="1">
        <v>0</v>
      </c>
      <c r="C89" s="1">
        <v>0</v>
      </c>
      <c r="D89" s="22">
        <v>2.99</v>
      </c>
    </row>
    <row r="90" spans="1:4" x14ac:dyDescent="0.3">
      <c r="A90" s="25" t="s">
        <v>640</v>
      </c>
      <c r="B90" s="1"/>
      <c r="C90" s="1"/>
      <c r="D90" s="22"/>
    </row>
    <row r="91" spans="1:4" x14ac:dyDescent="0.3">
      <c r="A91" s="26" t="s">
        <v>646</v>
      </c>
      <c r="B91" s="1">
        <v>0</v>
      </c>
      <c r="C91" s="1">
        <v>0.38790000000000002</v>
      </c>
      <c r="D91" s="22">
        <v>1.88</v>
      </c>
    </row>
    <row r="92" spans="1:4" x14ac:dyDescent="0.3">
      <c r="A92" s="25" t="s">
        <v>664</v>
      </c>
      <c r="B92" s="1">
        <v>0</v>
      </c>
      <c r="C92" s="1">
        <v>0.38790000000000002</v>
      </c>
      <c r="D92" s="22">
        <v>1.88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workbookViewId="0">
      <selection activeCell="E14" sqref="E14"/>
    </sheetView>
  </sheetViews>
  <sheetFormatPr defaultRowHeight="14.4" x14ac:dyDescent="0.3"/>
  <cols>
    <col min="1" max="3" width="26.6640625" customWidth="1"/>
    <col min="4" max="4" width="17.77734375" customWidth="1"/>
  </cols>
  <sheetData>
    <row r="1" spans="1:4" x14ac:dyDescent="0.3">
      <c r="A1" s="21" t="s">
        <v>614</v>
      </c>
      <c r="B1" t="s">
        <v>624</v>
      </c>
    </row>
    <row r="3" spans="1:4" x14ac:dyDescent="0.3">
      <c r="A3" s="21" t="s">
        <v>687</v>
      </c>
      <c r="B3" t="s">
        <v>667</v>
      </c>
      <c r="C3" t="s">
        <v>668</v>
      </c>
      <c r="D3" t="s">
        <v>669</v>
      </c>
    </row>
    <row r="4" spans="1:4" x14ac:dyDescent="0.3">
      <c r="A4" s="24" t="s">
        <v>670</v>
      </c>
      <c r="B4" s="1"/>
      <c r="C4" s="1"/>
      <c r="D4" s="22"/>
    </row>
    <row r="5" spans="1:4" x14ac:dyDescent="0.3">
      <c r="A5" s="26" t="s">
        <v>625</v>
      </c>
      <c r="B5" s="1">
        <v>6.1485714285714289E-2</v>
      </c>
      <c r="C5" s="1">
        <v>0.18530555555555556</v>
      </c>
      <c r="D5" s="22">
        <v>45.41</v>
      </c>
    </row>
    <row r="6" spans="1:4" x14ac:dyDescent="0.3">
      <c r="A6" s="26" t="s">
        <v>626</v>
      </c>
      <c r="B6" s="1">
        <v>3.15E-2</v>
      </c>
      <c r="C6" s="1">
        <v>0.10881</v>
      </c>
      <c r="D6" s="22">
        <v>38.029999999999994</v>
      </c>
    </row>
    <row r="7" spans="1:4" x14ac:dyDescent="0.3">
      <c r="A7" s="26" t="s">
        <v>627</v>
      </c>
      <c r="B7" s="1">
        <v>3.0600000000000006E-2</v>
      </c>
      <c r="C7" s="1">
        <v>0.10349090909090909</v>
      </c>
      <c r="D7" s="22">
        <v>27.089999999999996</v>
      </c>
    </row>
    <row r="8" spans="1:4" x14ac:dyDescent="0.3">
      <c r="A8" s="26" t="s">
        <v>628</v>
      </c>
      <c r="B8" s="1">
        <v>3.6784615384615388E-2</v>
      </c>
      <c r="C8" s="1">
        <v>0.13192941176470588</v>
      </c>
      <c r="D8" s="22">
        <v>22.979999999999997</v>
      </c>
    </row>
    <row r="9" spans="1:4" x14ac:dyDescent="0.3">
      <c r="A9" s="26" t="s">
        <v>629</v>
      </c>
      <c r="B9" s="1">
        <v>3.8962499999999997E-2</v>
      </c>
      <c r="C9" s="1">
        <v>0.11979999999999998</v>
      </c>
      <c r="D9" s="22">
        <v>13.419999999999996</v>
      </c>
    </row>
    <row r="10" spans="1:4" x14ac:dyDescent="0.3">
      <c r="A10" s="26" t="s">
        <v>630</v>
      </c>
      <c r="B10" s="1">
        <v>2.7650000000000004E-2</v>
      </c>
      <c r="C10" s="1">
        <v>6.7283333333333334E-2</v>
      </c>
      <c r="D10" s="22">
        <v>11.14</v>
      </c>
    </row>
    <row r="11" spans="1:4" x14ac:dyDescent="0.3">
      <c r="A11" s="26" t="s">
        <v>631</v>
      </c>
      <c r="B11" s="1">
        <v>3.9199999999999999E-2</v>
      </c>
      <c r="C11" s="1">
        <v>0.18614285714285717</v>
      </c>
      <c r="D11" s="22">
        <v>14.559999999999999</v>
      </c>
    </row>
    <row r="12" spans="1:4" x14ac:dyDescent="0.3">
      <c r="A12" s="26" t="s">
        <v>632</v>
      </c>
      <c r="B12" s="1">
        <v>3.73E-2</v>
      </c>
      <c r="C12" s="1">
        <v>5.3849999999999995E-2</v>
      </c>
      <c r="D12" s="22">
        <v>3.56</v>
      </c>
    </row>
    <row r="13" spans="1:4" x14ac:dyDescent="0.3">
      <c r="A13" s="26" t="s">
        <v>633</v>
      </c>
      <c r="B13" s="1">
        <v>2.523333333333333E-2</v>
      </c>
      <c r="C13" s="1">
        <v>6.2316666666666666E-2</v>
      </c>
      <c r="D13" s="22">
        <v>5.6099999999999994</v>
      </c>
    </row>
    <row r="14" spans="1:4" x14ac:dyDescent="0.3">
      <c r="A14" s="26" t="s">
        <v>634</v>
      </c>
      <c r="B14" s="1">
        <v>2.0049999999999998E-2</v>
      </c>
      <c r="C14" s="1">
        <v>7.485E-2</v>
      </c>
      <c r="D14" s="22">
        <v>3.26</v>
      </c>
    </row>
    <row r="15" spans="1:4" x14ac:dyDescent="0.3">
      <c r="A15" s="26" t="s">
        <v>635</v>
      </c>
      <c r="B15" s="1">
        <v>1.9375000000000003E-2</v>
      </c>
      <c r="C15" s="1">
        <v>5.3599999999999995E-2</v>
      </c>
      <c r="D15" s="22">
        <v>3.3</v>
      </c>
    </row>
    <row r="16" spans="1:4" x14ac:dyDescent="0.3">
      <c r="A16" s="26" t="s">
        <v>636</v>
      </c>
      <c r="B16" s="1">
        <v>2.8450000000000003E-2</v>
      </c>
      <c r="C16" s="1">
        <v>7.4275000000000008E-2</v>
      </c>
      <c r="D16" s="22">
        <v>5.85</v>
      </c>
    </row>
    <row r="17" spans="1:4" x14ac:dyDescent="0.3">
      <c r="A17" s="26" t="s">
        <v>637</v>
      </c>
      <c r="B17" s="1">
        <v>2.3699999999999999E-2</v>
      </c>
      <c r="C17" s="1">
        <v>0.16270000000000001</v>
      </c>
      <c r="D17" s="22">
        <v>4.83</v>
      </c>
    </row>
    <row r="18" spans="1:4" x14ac:dyDescent="0.3">
      <c r="A18" s="26" t="s">
        <v>638</v>
      </c>
      <c r="B18" s="1">
        <v>2.0500000000000001E-2</v>
      </c>
      <c r="C18" s="1">
        <v>1.29E-2</v>
      </c>
      <c r="D18" s="22">
        <v>3.02</v>
      </c>
    </row>
    <row r="19" spans="1:4" x14ac:dyDescent="0.3">
      <c r="A19" s="26" t="s">
        <v>639</v>
      </c>
      <c r="B19" s="1">
        <v>2.5700000000000001E-2</v>
      </c>
      <c r="C19" s="1">
        <v>6.6750000000000004E-2</v>
      </c>
      <c r="D19" s="22">
        <v>2.17</v>
      </c>
    </row>
    <row r="20" spans="1:4" x14ac:dyDescent="0.3">
      <c r="A20" s="26" t="s">
        <v>640</v>
      </c>
      <c r="B20" s="1">
        <v>1.0999999999999999E-2</v>
      </c>
      <c r="C20" s="1">
        <v>6.6100000000000006E-2</v>
      </c>
      <c r="D20" s="22">
        <v>1.27</v>
      </c>
    </row>
    <row r="21" spans="1:4" x14ac:dyDescent="0.3">
      <c r="A21" s="26" t="s">
        <v>641</v>
      </c>
      <c r="B21" s="1">
        <v>0</v>
      </c>
      <c r="C21" s="1">
        <v>5.3499999999999999E-2</v>
      </c>
      <c r="D21" s="22">
        <v>0.16</v>
      </c>
    </row>
    <row r="22" spans="1:4" x14ac:dyDescent="0.3">
      <c r="A22" s="26" t="s">
        <v>642</v>
      </c>
      <c r="B22" s="1">
        <v>1.43E-2</v>
      </c>
      <c r="C22" s="1">
        <v>2.12E-2</v>
      </c>
      <c r="D22" s="22">
        <v>1.1499999999999999</v>
      </c>
    </row>
    <row r="23" spans="1:4" x14ac:dyDescent="0.3">
      <c r="A23" s="26" t="s">
        <v>643</v>
      </c>
      <c r="B23" s="1">
        <v>2.35E-2</v>
      </c>
      <c r="C23" s="1">
        <v>9.1899999999999996E-2</v>
      </c>
      <c r="D23" s="22">
        <v>1.46</v>
      </c>
    </row>
    <row r="24" spans="1:4" x14ac:dyDescent="0.3">
      <c r="A24" s="26" t="s">
        <v>644</v>
      </c>
      <c r="B24" s="1">
        <v>0</v>
      </c>
      <c r="C24" s="1">
        <v>4.5199999999999997E-2</v>
      </c>
      <c r="D24" s="22">
        <v>2.92</v>
      </c>
    </row>
    <row r="25" spans="1:4" x14ac:dyDescent="0.3">
      <c r="A25" s="26" t="s">
        <v>645</v>
      </c>
      <c r="B25" s="1">
        <v>8.0999999999999996E-3</v>
      </c>
      <c r="C25" s="1">
        <v>1.8499999999999999E-2</v>
      </c>
      <c r="D25" s="22">
        <v>0.89</v>
      </c>
    </row>
    <row r="26" spans="1:4" x14ac:dyDescent="0.3">
      <c r="A26" s="26" t="s">
        <v>646</v>
      </c>
      <c r="B26" s="1">
        <v>5.0500000000000003E-2</v>
      </c>
      <c r="C26" s="1">
        <v>0.30205000000000004</v>
      </c>
      <c r="D26" s="22">
        <v>3.05</v>
      </c>
    </row>
    <row r="27" spans="1:4" x14ac:dyDescent="0.3">
      <c r="A27" s="26" t="s">
        <v>647</v>
      </c>
      <c r="B27" s="1">
        <v>6.1999999999999998E-3</v>
      </c>
      <c r="C27" s="1">
        <v>0.12790000000000001</v>
      </c>
      <c r="D27" s="22">
        <v>1.47</v>
      </c>
    </row>
    <row r="28" spans="1:4" x14ac:dyDescent="0.3">
      <c r="A28" s="26" t="s">
        <v>648</v>
      </c>
      <c r="B28" s="1">
        <v>1.2E-2</v>
      </c>
      <c r="C28" s="1">
        <v>6.8000000000000005E-2</v>
      </c>
      <c r="D28" s="22">
        <v>0.98</v>
      </c>
    </row>
    <row r="29" spans="1:4" x14ac:dyDescent="0.3">
      <c r="A29" s="26" t="s">
        <v>649</v>
      </c>
      <c r="B29" s="1">
        <v>0</v>
      </c>
      <c r="C29" s="1">
        <v>3.6499999999999998E-2</v>
      </c>
      <c r="D29" s="22">
        <v>1.22</v>
      </c>
    </row>
    <row r="30" spans="1:4" x14ac:dyDescent="0.3">
      <c r="A30" s="26" t="s">
        <v>650</v>
      </c>
      <c r="B30" s="1">
        <v>0</v>
      </c>
      <c r="C30" s="1">
        <v>8.5199999999999998E-2</v>
      </c>
      <c r="D30" s="22">
        <v>1.91</v>
      </c>
    </row>
    <row r="31" spans="1:4" x14ac:dyDescent="0.3">
      <c r="A31" s="26" t="s">
        <v>651</v>
      </c>
      <c r="B31" s="1">
        <v>0</v>
      </c>
      <c r="C31" s="1">
        <v>0.19040000000000001</v>
      </c>
      <c r="D31" s="22">
        <v>1.68</v>
      </c>
    </row>
    <row r="32" spans="1:4" x14ac:dyDescent="0.3">
      <c r="A32" s="26" t="s">
        <v>652</v>
      </c>
      <c r="B32" s="1">
        <v>0</v>
      </c>
      <c r="C32" s="1">
        <v>0.216</v>
      </c>
      <c r="D32" s="22">
        <v>2.1</v>
      </c>
    </row>
    <row r="33" spans="1:4" x14ac:dyDescent="0.3">
      <c r="A33" s="24" t="s">
        <v>678</v>
      </c>
      <c r="B33" s="1">
        <v>3.240470588235294E-2</v>
      </c>
      <c r="C33" s="1">
        <v>0.11953709677419358</v>
      </c>
      <c r="D33" s="22">
        <v>224.49</v>
      </c>
    </row>
    <row r="34" spans="1:4" x14ac:dyDescent="0.3">
      <c r="A34" s="24" t="s">
        <v>671</v>
      </c>
      <c r="B34" s="1"/>
      <c r="C34" s="1"/>
      <c r="D34" s="22"/>
    </row>
    <row r="35" spans="1:4" x14ac:dyDescent="0.3">
      <c r="A35" s="26" t="s">
        <v>625</v>
      </c>
      <c r="B35" s="1">
        <v>4.0724999999999997E-2</v>
      </c>
      <c r="C35" s="1">
        <v>0.24300952380952381</v>
      </c>
      <c r="D35" s="22">
        <v>71.90000000000002</v>
      </c>
    </row>
    <row r="36" spans="1:4" x14ac:dyDescent="0.3">
      <c r="A36" s="26" t="s">
        <v>626</v>
      </c>
      <c r="B36" s="1">
        <v>8.6279999999999996E-2</v>
      </c>
      <c r="C36" s="1">
        <v>0.23162000000000002</v>
      </c>
      <c r="D36" s="22">
        <v>27.130000000000003</v>
      </c>
    </row>
    <row r="37" spans="1:4" x14ac:dyDescent="0.3">
      <c r="A37" s="26" t="s">
        <v>627</v>
      </c>
      <c r="B37" s="1">
        <v>7.383333333333332E-2</v>
      </c>
      <c r="C37" s="1">
        <v>0.2011</v>
      </c>
      <c r="D37" s="22">
        <v>7.14</v>
      </c>
    </row>
    <row r="38" spans="1:4" x14ac:dyDescent="0.3">
      <c r="A38" s="26" t="s">
        <v>628</v>
      </c>
      <c r="B38" s="1">
        <v>4.6249999999999999E-2</v>
      </c>
      <c r="C38" s="1">
        <v>0.37485000000000002</v>
      </c>
      <c r="D38" s="22">
        <v>5.41</v>
      </c>
    </row>
    <row r="39" spans="1:4" x14ac:dyDescent="0.3">
      <c r="A39" s="26" t="s">
        <v>629</v>
      </c>
      <c r="B39" s="1">
        <v>0.10630000000000001</v>
      </c>
      <c r="C39" s="1">
        <v>0.32275000000000004</v>
      </c>
      <c r="D39" s="22">
        <v>5.35</v>
      </c>
    </row>
    <row r="40" spans="1:4" x14ac:dyDescent="0.3">
      <c r="A40" s="26" t="s">
        <v>631</v>
      </c>
      <c r="B40" s="1">
        <v>0</v>
      </c>
      <c r="C40" s="1">
        <v>8.745E-2</v>
      </c>
      <c r="D40" s="22">
        <v>4.78</v>
      </c>
    </row>
    <row r="41" spans="1:4" x14ac:dyDescent="0.3">
      <c r="A41" s="26" t="s">
        <v>632</v>
      </c>
      <c r="B41" s="1">
        <v>0.20119999999999999</v>
      </c>
      <c r="C41" s="1">
        <v>0.25430000000000003</v>
      </c>
      <c r="D41" s="22">
        <v>2.98</v>
      </c>
    </row>
    <row r="42" spans="1:4" x14ac:dyDescent="0.3">
      <c r="A42" s="26" t="s">
        <v>643</v>
      </c>
      <c r="B42" s="1">
        <v>1.7399999999999999E-2</v>
      </c>
      <c r="C42" s="1">
        <v>0.25190000000000001</v>
      </c>
      <c r="D42" s="22">
        <v>1.58</v>
      </c>
    </row>
    <row r="43" spans="1:4" x14ac:dyDescent="0.3">
      <c r="A43" s="24" t="s">
        <v>679</v>
      </c>
      <c r="B43" s="1">
        <v>6.2360000000000006E-2</v>
      </c>
      <c r="C43" s="1">
        <v>0.23953720930232558</v>
      </c>
      <c r="D43" s="22">
        <v>126.27000000000002</v>
      </c>
    </row>
    <row r="44" spans="1:4" x14ac:dyDescent="0.3">
      <c r="A44" s="24" t="s">
        <v>672</v>
      </c>
      <c r="B44" s="1"/>
      <c r="C44" s="1"/>
      <c r="D44" s="22"/>
    </row>
    <row r="45" spans="1:4" x14ac:dyDescent="0.3">
      <c r="A45" s="26" t="s">
        <v>625</v>
      </c>
      <c r="B45" s="1">
        <v>0.4471</v>
      </c>
      <c r="C45" s="1">
        <v>0.62853636363636367</v>
      </c>
      <c r="D45" s="22">
        <v>44.390000000000008</v>
      </c>
    </row>
    <row r="46" spans="1:4" x14ac:dyDescent="0.3">
      <c r="A46" s="26" t="s">
        <v>626</v>
      </c>
      <c r="B46" s="1">
        <v>8.8800000000000004E-2</v>
      </c>
      <c r="C46" s="1">
        <v>0.55069999999999997</v>
      </c>
      <c r="D46" s="22">
        <v>2.34</v>
      </c>
    </row>
    <row r="47" spans="1:4" x14ac:dyDescent="0.3">
      <c r="A47" s="26" t="s">
        <v>628</v>
      </c>
      <c r="B47" s="1">
        <v>0</v>
      </c>
      <c r="C47" s="1">
        <v>0.2334</v>
      </c>
      <c r="D47" s="22">
        <v>3.4</v>
      </c>
    </row>
    <row r="48" spans="1:4" x14ac:dyDescent="0.3">
      <c r="A48" s="24" t="s">
        <v>680</v>
      </c>
      <c r="B48" s="1">
        <v>0.39591428571428572</v>
      </c>
      <c r="C48" s="1">
        <v>0.59215384615384614</v>
      </c>
      <c r="D48" s="22">
        <v>50.13</v>
      </c>
    </row>
    <row r="49" spans="1:4" x14ac:dyDescent="0.3">
      <c r="A49" s="24" t="s">
        <v>673</v>
      </c>
      <c r="B49" s="1"/>
      <c r="C49" s="1"/>
      <c r="D49" s="22"/>
    </row>
    <row r="50" spans="1:4" x14ac:dyDescent="0.3">
      <c r="A50" s="26" t="s">
        <v>625</v>
      </c>
      <c r="B50" s="1">
        <v>0.184475</v>
      </c>
      <c r="C50" s="1">
        <v>0.5627375</v>
      </c>
      <c r="D50" s="22">
        <v>18.2</v>
      </c>
    </row>
    <row r="51" spans="1:4" x14ac:dyDescent="0.3">
      <c r="A51" s="24" t="s">
        <v>681</v>
      </c>
      <c r="B51" s="1">
        <v>0.184475</v>
      </c>
      <c r="C51" s="1">
        <v>0.5627375</v>
      </c>
      <c r="D51" s="22">
        <v>18.2</v>
      </c>
    </row>
    <row r="52" spans="1:4" x14ac:dyDescent="0.3">
      <c r="A52" s="24" t="s">
        <v>674</v>
      </c>
      <c r="B52" s="1"/>
      <c r="C52" s="1"/>
      <c r="D52" s="22"/>
    </row>
    <row r="53" spans="1:4" x14ac:dyDescent="0.3">
      <c r="A53" s="26" t="s">
        <v>625</v>
      </c>
      <c r="B53" s="1">
        <v>1.1226500000000001</v>
      </c>
      <c r="C53" s="1">
        <v>1.1862000000000001</v>
      </c>
      <c r="D53" s="22">
        <v>3.92</v>
      </c>
    </row>
    <row r="54" spans="1:4" x14ac:dyDescent="0.3">
      <c r="A54" s="26" t="s">
        <v>627</v>
      </c>
      <c r="B54" s="1">
        <v>0.1807</v>
      </c>
      <c r="C54" s="1">
        <v>1.5739000000000001</v>
      </c>
      <c r="D54" s="22">
        <v>5.83</v>
      </c>
    </row>
    <row r="55" spans="1:4" x14ac:dyDescent="0.3">
      <c r="A55" s="24" t="s">
        <v>682</v>
      </c>
      <c r="B55" s="1">
        <v>0.80866666666666676</v>
      </c>
      <c r="C55" s="1">
        <v>1.3154333333333335</v>
      </c>
      <c r="D55" s="22">
        <v>9.75</v>
      </c>
    </row>
    <row r="56" spans="1:4" x14ac:dyDescent="0.3">
      <c r="A56" s="24" t="s">
        <v>675</v>
      </c>
      <c r="B56" s="1"/>
      <c r="C56" s="1"/>
      <c r="D56" s="22"/>
    </row>
    <row r="57" spans="1:4" x14ac:dyDescent="0.3">
      <c r="A57" s="26" t="s">
        <v>625</v>
      </c>
      <c r="B57" s="1">
        <v>0.1014</v>
      </c>
      <c r="C57" s="1">
        <v>0.11495</v>
      </c>
      <c r="D57" s="22">
        <v>5.12</v>
      </c>
    </row>
    <row r="58" spans="1:4" x14ac:dyDescent="0.3">
      <c r="A58" s="26" t="s">
        <v>626</v>
      </c>
      <c r="B58" s="1">
        <v>0.45900000000000002</v>
      </c>
      <c r="C58" s="1">
        <v>0.40820000000000001</v>
      </c>
      <c r="D58" s="22">
        <v>2.2999999999999998</v>
      </c>
    </row>
    <row r="59" spans="1:4" x14ac:dyDescent="0.3">
      <c r="A59" s="24" t="s">
        <v>683</v>
      </c>
      <c r="B59" s="1">
        <v>0.22060000000000002</v>
      </c>
      <c r="C59" s="1">
        <v>0.2127</v>
      </c>
      <c r="D59" s="22">
        <v>7.42</v>
      </c>
    </row>
    <row r="60" spans="1:4" x14ac:dyDescent="0.3">
      <c r="A60" s="24" t="s">
        <v>676</v>
      </c>
      <c r="B60" s="1"/>
      <c r="C60" s="1"/>
      <c r="D60" s="22"/>
    </row>
    <row r="61" spans="1:4" x14ac:dyDescent="0.3">
      <c r="A61" s="26" t="s">
        <v>625</v>
      </c>
      <c r="B61" s="1">
        <v>0.36409999999999998</v>
      </c>
      <c r="C61" s="1">
        <v>0.2326</v>
      </c>
      <c r="D61" s="22">
        <v>7.15</v>
      </c>
    </row>
    <row r="62" spans="1:4" x14ac:dyDescent="0.3">
      <c r="A62" s="24" t="s">
        <v>684</v>
      </c>
      <c r="B62" s="1">
        <v>0.36409999999999998</v>
      </c>
      <c r="C62" s="1">
        <v>0.2326</v>
      </c>
      <c r="D62" s="22">
        <v>7.15</v>
      </c>
    </row>
    <row r="63" spans="1:4" x14ac:dyDescent="0.3">
      <c r="A63" s="24" t="s">
        <v>677</v>
      </c>
      <c r="B63" s="1"/>
      <c r="C63" s="1"/>
      <c r="D63" s="22"/>
    </row>
    <row r="64" spans="1:4" x14ac:dyDescent="0.3">
      <c r="A64" s="26" t="s">
        <v>625</v>
      </c>
      <c r="B64" s="1">
        <v>0.56869999999999998</v>
      </c>
      <c r="C64" s="1">
        <v>0.91279999999999994</v>
      </c>
      <c r="D64" s="22">
        <v>0.65</v>
      </c>
    </row>
    <row r="65" spans="1:4" x14ac:dyDescent="0.3">
      <c r="A65" s="24" t="s">
        <v>685</v>
      </c>
      <c r="B65" s="1">
        <v>0.56869999999999998</v>
      </c>
      <c r="C65" s="1">
        <v>0.91279999999999994</v>
      </c>
      <c r="D65" s="22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ResultsTable</vt:lpstr>
      <vt:lpstr>PriceAnalysis</vt:lpstr>
      <vt:lpstr>VolumeAnalysis</vt:lpstr>
      <vt:lpstr>VolatilityAnalysis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2026-02-22T18:55:20Z</dcterms:created>
  <dcterms:modified xsi:type="dcterms:W3CDTF">2026-02-23T00:07:08Z</dcterms:modified>
</cp:coreProperties>
</file>